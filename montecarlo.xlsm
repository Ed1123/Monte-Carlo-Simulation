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vicapi\sambashare\"/>
    </mc:Choice>
  </mc:AlternateContent>
  <xr:revisionPtr revIDLastSave="0" documentId="13_ncr:1_{E60ECEB6-0997-4B0F-AFA7-236649172135}" xr6:coauthVersionLast="47" xr6:coauthVersionMax="47" xr10:uidLastSave="{00000000-0000-0000-0000-000000000000}"/>
  <bookViews>
    <workbookView xWindow="-120" yWindow="-120" windowWidth="29040" windowHeight="15840" xr2:uid="{5E5624A5-D166-4E2A-A3B9-02C71BCE2758}"/>
  </bookViews>
  <sheets>
    <sheet name="Var + V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I8" i="1"/>
  <c r="C9" i="1"/>
  <c r="D139" i="1" s="1"/>
  <c r="I9" i="1"/>
  <c r="I13" i="1"/>
  <c r="N13" i="1"/>
  <c r="C14" i="1"/>
  <c r="K110" i="1" s="1"/>
  <c r="D14" i="1"/>
  <c r="E114" i="1" s="1"/>
  <c r="E14" i="1"/>
  <c r="I14" i="1"/>
  <c r="D116" i="1" s="1"/>
  <c r="N14" i="1"/>
  <c r="C15" i="1"/>
  <c r="D15" i="1"/>
  <c r="E15" i="1"/>
  <c r="C19" i="1"/>
  <c r="D19" i="1"/>
  <c r="D154" i="1" s="1"/>
  <c r="E19" i="1"/>
  <c r="F19" i="1"/>
  <c r="G19" i="1"/>
  <c r="H19" i="1"/>
  <c r="I19" i="1"/>
  <c r="J19" i="1"/>
  <c r="J105" i="1" s="1"/>
  <c r="K19" i="1"/>
  <c r="L19" i="1"/>
  <c r="C20" i="1"/>
  <c r="C96" i="1" s="1"/>
  <c r="D20" i="1"/>
  <c r="D96" i="1" s="1"/>
  <c r="E20" i="1"/>
  <c r="E96" i="1" s="1"/>
  <c r="F20" i="1"/>
  <c r="F96" i="1" s="1"/>
  <c r="G20" i="1"/>
  <c r="G96" i="1" s="1"/>
  <c r="H20" i="1"/>
  <c r="I20" i="1"/>
  <c r="J20" i="1"/>
  <c r="K20" i="1"/>
  <c r="L20" i="1"/>
  <c r="C25" i="1"/>
  <c r="C27" i="1"/>
  <c r="C28" i="1"/>
  <c r="C31" i="1"/>
  <c r="F246" i="1" s="1"/>
  <c r="C32" i="1"/>
  <c r="C35" i="1"/>
  <c r="B37" i="1"/>
  <c r="D87" i="1"/>
  <c r="L87" i="1"/>
  <c r="H96" i="1"/>
  <c r="I96" i="1"/>
  <c r="J96" i="1"/>
  <c r="K96" i="1"/>
  <c r="L96" i="1"/>
  <c r="D105" i="1"/>
  <c r="E105" i="1"/>
  <c r="F105" i="1"/>
  <c r="G105" i="1"/>
  <c r="H105" i="1"/>
  <c r="I105" i="1"/>
  <c r="K105" i="1"/>
  <c r="L105" i="1"/>
  <c r="C110" i="1"/>
  <c r="D110" i="1"/>
  <c r="E110" i="1"/>
  <c r="F110" i="1"/>
  <c r="G110" i="1"/>
  <c r="H110" i="1"/>
  <c r="I110" i="1"/>
  <c r="J110" i="1"/>
  <c r="L110" i="1"/>
  <c r="C114" i="1"/>
  <c r="D114" i="1"/>
  <c r="F114" i="1"/>
  <c r="G114" i="1"/>
  <c r="H114" i="1"/>
  <c r="I114" i="1"/>
  <c r="J114" i="1"/>
  <c r="J117" i="1" s="1"/>
  <c r="K114" i="1"/>
  <c r="K117" i="1" s="1"/>
  <c r="L114" i="1"/>
  <c r="H115" i="1"/>
  <c r="I115" i="1"/>
  <c r="J115" i="1"/>
  <c r="K115" i="1"/>
  <c r="L115" i="1"/>
  <c r="J116" i="1"/>
  <c r="K116" i="1"/>
  <c r="L116" i="1"/>
  <c r="L117" i="1"/>
  <c r="C133" i="1"/>
  <c r="D133" i="1"/>
  <c r="E133" i="1"/>
  <c r="F133" i="1"/>
  <c r="G133" i="1"/>
  <c r="H133" i="1"/>
  <c r="I133" i="1"/>
  <c r="J133" i="1"/>
  <c r="K133" i="1"/>
  <c r="L133" i="1"/>
  <c r="C137" i="1"/>
  <c r="D137" i="1"/>
  <c r="E137" i="1"/>
  <c r="L137" i="1"/>
  <c r="F138" i="1"/>
  <c r="G138" i="1"/>
  <c r="H139" i="1"/>
  <c r="I139" i="1"/>
  <c r="E154" i="1"/>
  <c r="F154" i="1"/>
  <c r="G154" i="1"/>
  <c r="H154" i="1"/>
  <c r="I154" i="1"/>
  <c r="J154" i="1"/>
  <c r="K154" i="1"/>
  <c r="L154" i="1"/>
  <c r="L163" i="1"/>
  <c r="L164" i="1" s="1"/>
  <c r="L165" i="1" s="1"/>
  <c r="D195" i="1"/>
  <c r="E212" i="1" s="1"/>
  <c r="E286" i="1" s="1"/>
  <c r="E195" i="1"/>
  <c r="K195" i="1"/>
  <c r="L212" i="1" s="1"/>
  <c r="L286" i="1" s="1"/>
  <c r="C217" i="1"/>
  <c r="C223" i="1" s="1"/>
  <c r="D217" i="1"/>
  <c r="C228" i="1"/>
  <c r="C229" i="1" s="1"/>
  <c r="C234" i="1" s="1"/>
  <c r="D237" i="1"/>
  <c r="E237" i="1" s="1"/>
  <c r="F237" i="1" s="1"/>
  <c r="G237" i="1" s="1"/>
  <c r="H237" i="1" s="1"/>
  <c r="I237" i="1" s="1"/>
  <c r="J237" i="1" s="1"/>
  <c r="K237" i="1" s="1"/>
  <c r="L237" i="1" s="1"/>
  <c r="M237" i="1" s="1"/>
  <c r="C245" i="1"/>
  <c r="D246" i="1"/>
  <c r="E246" i="1"/>
  <c r="G246" i="1"/>
  <c r="D247" i="1"/>
  <c r="E249" i="1"/>
  <c r="E251" i="1" s="1"/>
  <c r="F249" i="1"/>
  <c r="G249" i="1"/>
  <c r="D250" i="1"/>
  <c r="C267" i="1" s="1"/>
  <c r="F251" i="1"/>
  <c r="G251" i="1"/>
  <c r="C252" i="1"/>
  <c r="G267" i="1"/>
  <c r="H267" i="1"/>
  <c r="I267" i="1"/>
  <c r="J267" i="1"/>
  <c r="K267" i="1"/>
  <c r="L267" i="1"/>
  <c r="K268" i="1"/>
  <c r="C281" i="1"/>
  <c r="E282" i="1"/>
  <c r="F282" i="1"/>
  <c r="G282" i="1"/>
  <c r="C284" i="1"/>
  <c r="C287" i="1" s="1"/>
  <c r="C288" i="1"/>
  <c r="C297" i="1"/>
  <c r="D297" i="1"/>
  <c r="E297" i="1"/>
  <c r="C298" i="1"/>
  <c r="M298" i="1"/>
  <c r="C299" i="1"/>
  <c r="M299" i="1"/>
  <c r="C300" i="1"/>
  <c r="M300" i="1"/>
  <c r="C301" i="1"/>
  <c r="M301" i="1"/>
  <c r="C302" i="1"/>
  <c r="M302" i="1"/>
  <c r="C305" i="1"/>
  <c r="C306" i="1"/>
  <c r="D306" i="1"/>
  <c r="E306" i="1"/>
  <c r="F306" i="1"/>
  <c r="D313" i="1"/>
  <c r="C315" i="1"/>
  <c r="L345" i="1"/>
  <c r="C362" i="1"/>
  <c r="D370" i="1"/>
  <c r="C303" i="1" l="1"/>
  <c r="C239" i="1"/>
  <c r="C364" i="1" s="1"/>
  <c r="C374" i="1" s="1"/>
  <c r="F212" i="1"/>
  <c r="F286" i="1" s="1"/>
  <c r="E268" i="1"/>
  <c r="D249" i="1"/>
  <c r="D282" i="1" s="1"/>
  <c r="D245" i="1"/>
  <c r="D223" i="1"/>
  <c r="D268" i="1"/>
  <c r="C138" i="1"/>
  <c r="C140" i="1" s="1"/>
  <c r="L95" i="1"/>
  <c r="L97" i="1" s="1"/>
  <c r="L132" i="1"/>
  <c r="L134" i="1" s="1"/>
  <c r="L135" i="1" s="1"/>
  <c r="I117" i="1"/>
  <c r="D86" i="1"/>
  <c r="D163" i="1"/>
  <c r="D164" i="1" s="1"/>
  <c r="D165" i="1" s="1"/>
  <c r="D95" i="1"/>
  <c r="D97" i="1" s="1"/>
  <c r="I195" i="1"/>
  <c r="G139" i="1"/>
  <c r="H117" i="1"/>
  <c r="L86" i="1"/>
  <c r="H195" i="1"/>
  <c r="F139" i="1"/>
  <c r="D132" i="1"/>
  <c r="G195" i="1"/>
  <c r="E139" i="1"/>
  <c r="F195" i="1"/>
  <c r="H138" i="1"/>
  <c r="C154" i="1"/>
  <c r="C105" i="1"/>
  <c r="J139" i="1"/>
  <c r="I138" i="1"/>
  <c r="K139" i="1"/>
  <c r="K138" i="1"/>
  <c r="E138" i="1"/>
  <c r="E140" i="1" s="1"/>
  <c r="E188" i="1" s="1"/>
  <c r="E261" i="1" s="1"/>
  <c r="D134" i="1"/>
  <c r="D135" i="1" s="1"/>
  <c r="C87" i="1"/>
  <c r="E87" i="1"/>
  <c r="F87" i="1"/>
  <c r="G87" i="1"/>
  <c r="H87" i="1"/>
  <c r="I87" i="1"/>
  <c r="J87" i="1"/>
  <c r="K87" i="1"/>
  <c r="D138" i="1"/>
  <c r="D140" i="1" s="1"/>
  <c r="D188" i="1" s="1"/>
  <c r="D261" i="1" s="1"/>
  <c r="F137" i="1"/>
  <c r="G137" i="1"/>
  <c r="G140" i="1" s="1"/>
  <c r="H137" i="1"/>
  <c r="I137" i="1"/>
  <c r="J137" i="1"/>
  <c r="K137" i="1"/>
  <c r="C116" i="1"/>
  <c r="J195" i="1"/>
  <c r="E116" i="1"/>
  <c r="L195" i="1"/>
  <c r="C208" i="1"/>
  <c r="C210" i="1" s="1"/>
  <c r="C213" i="1" s="1"/>
  <c r="G116" i="1"/>
  <c r="G117" i="1" s="1"/>
  <c r="H116" i="1"/>
  <c r="C195" i="1"/>
  <c r="C139" i="1"/>
  <c r="I116" i="1"/>
  <c r="G115" i="1"/>
  <c r="L138" i="1"/>
  <c r="L140" i="1" s="1"/>
  <c r="L188" i="1" s="1"/>
  <c r="L261" i="1" s="1"/>
  <c r="F115" i="1"/>
  <c r="F117" i="1" s="1"/>
  <c r="E115" i="1"/>
  <c r="E117" i="1" s="1"/>
  <c r="L139" i="1"/>
  <c r="J138" i="1"/>
  <c r="F116" i="1"/>
  <c r="D115" i="1"/>
  <c r="D117" i="1" s="1"/>
  <c r="C115" i="1"/>
  <c r="C214" i="1" l="1"/>
  <c r="C86" i="1"/>
  <c r="C95" i="1"/>
  <c r="C97" i="1" s="1"/>
  <c r="C132" i="1"/>
  <c r="C134" i="1" s="1"/>
  <c r="C135" i="1" s="1"/>
  <c r="C163" i="1"/>
  <c r="C164" i="1" s="1"/>
  <c r="C165" i="1" s="1"/>
  <c r="D157" i="1"/>
  <c r="D158" i="1" s="1"/>
  <c r="D159" i="1" s="1"/>
  <c r="D90" i="1"/>
  <c r="K212" i="1"/>
  <c r="K286" i="1" s="1"/>
  <c r="J268" i="1"/>
  <c r="C309" i="1"/>
  <c r="E245" i="1"/>
  <c r="E247" i="1"/>
  <c r="E250" i="1" s="1"/>
  <c r="K95" i="1"/>
  <c r="K97" i="1" s="1"/>
  <c r="K132" i="1"/>
  <c r="K134" i="1" s="1"/>
  <c r="K135" i="1" s="1"/>
  <c r="K86" i="1"/>
  <c r="K163" i="1"/>
  <c r="K164" i="1" s="1"/>
  <c r="K165" i="1" s="1"/>
  <c r="K140" i="1"/>
  <c r="K188" i="1" s="1"/>
  <c r="K261" i="1" s="1"/>
  <c r="J132" i="1"/>
  <c r="J134" i="1" s="1"/>
  <c r="J135" i="1" s="1"/>
  <c r="J86" i="1"/>
  <c r="J163" i="1"/>
  <c r="J164" i="1" s="1"/>
  <c r="J165" i="1" s="1"/>
  <c r="J95" i="1"/>
  <c r="J97" i="1" s="1"/>
  <c r="F268" i="1"/>
  <c r="G212" i="1"/>
  <c r="G286" i="1" s="1"/>
  <c r="L169" i="1"/>
  <c r="L170" i="1" s="1"/>
  <c r="L350" i="1" s="1"/>
  <c r="L98" i="1"/>
  <c r="D251" i="1"/>
  <c r="L90" i="1"/>
  <c r="L157" i="1"/>
  <c r="L158" i="1" s="1"/>
  <c r="L159" i="1" s="1"/>
  <c r="D169" i="1"/>
  <c r="D170" i="1" s="1"/>
  <c r="D98" i="1"/>
  <c r="M212" i="1"/>
  <c r="M286" i="1" s="1"/>
  <c r="L268" i="1"/>
  <c r="J140" i="1"/>
  <c r="J188" i="1" s="1"/>
  <c r="J261" i="1" s="1"/>
  <c r="I140" i="1"/>
  <c r="I188" i="1" s="1"/>
  <c r="I261" i="1" s="1"/>
  <c r="H140" i="1"/>
  <c r="H188" i="1" s="1"/>
  <c r="H261" i="1" s="1"/>
  <c r="C363" i="1"/>
  <c r="C311" i="1"/>
  <c r="I212" i="1"/>
  <c r="I286" i="1" s="1"/>
  <c r="H268" i="1"/>
  <c r="I95" i="1"/>
  <c r="I97" i="1" s="1"/>
  <c r="I86" i="1"/>
  <c r="I163" i="1"/>
  <c r="I164" i="1" s="1"/>
  <c r="I165" i="1" s="1"/>
  <c r="I132" i="1"/>
  <c r="I134" i="1" s="1"/>
  <c r="I135" i="1" s="1"/>
  <c r="H86" i="1"/>
  <c r="H163" i="1"/>
  <c r="H164" i="1" s="1"/>
  <c r="H165" i="1" s="1"/>
  <c r="H95" i="1"/>
  <c r="H97" i="1" s="1"/>
  <c r="H132" i="1"/>
  <c r="H134" i="1" s="1"/>
  <c r="H135" i="1" s="1"/>
  <c r="G86" i="1"/>
  <c r="G95" i="1"/>
  <c r="G97" i="1" s="1"/>
  <c r="G163" i="1"/>
  <c r="G164" i="1" s="1"/>
  <c r="G165" i="1" s="1"/>
  <c r="G132" i="1"/>
  <c r="G134" i="1" s="1"/>
  <c r="G135" i="1" s="1"/>
  <c r="D212" i="1"/>
  <c r="C268" i="1"/>
  <c r="G188" i="1"/>
  <c r="G261" i="1" s="1"/>
  <c r="F86" i="1"/>
  <c r="F163" i="1"/>
  <c r="F164" i="1" s="1"/>
  <c r="F165" i="1" s="1"/>
  <c r="F95" i="1"/>
  <c r="F97" i="1" s="1"/>
  <c r="F132" i="1"/>
  <c r="F134" i="1" s="1"/>
  <c r="F135" i="1" s="1"/>
  <c r="C117" i="1"/>
  <c r="C188" i="1" s="1"/>
  <c r="C261" i="1" s="1"/>
  <c r="F140" i="1"/>
  <c r="F188" i="1" s="1"/>
  <c r="F261" i="1" s="1"/>
  <c r="E86" i="1"/>
  <c r="E163" i="1"/>
  <c r="E164" i="1" s="1"/>
  <c r="E165" i="1" s="1"/>
  <c r="E95" i="1"/>
  <c r="E97" i="1" s="1"/>
  <c r="E132" i="1"/>
  <c r="E134" i="1" s="1"/>
  <c r="E135" i="1" s="1"/>
  <c r="H212" i="1"/>
  <c r="H286" i="1" s="1"/>
  <c r="G268" i="1"/>
  <c r="I268" i="1"/>
  <c r="J212" i="1"/>
  <c r="J286" i="1" s="1"/>
  <c r="I98" i="1" l="1"/>
  <c r="I169" i="1"/>
  <c r="I170" i="1" s="1"/>
  <c r="D184" i="1"/>
  <c r="D343" i="1"/>
  <c r="J90" i="1"/>
  <c r="J157" i="1"/>
  <c r="J158" i="1" s="1"/>
  <c r="J159" i="1" s="1"/>
  <c r="D109" i="1"/>
  <c r="D111" i="1" s="1"/>
  <c r="D112" i="1" s="1"/>
  <c r="D187" i="1" s="1"/>
  <c r="D260" i="1" s="1"/>
  <c r="D127" i="1"/>
  <c r="D89" i="1"/>
  <c r="L89" i="1"/>
  <c r="L127" i="1"/>
  <c r="L109" i="1"/>
  <c r="L111" i="1" s="1"/>
  <c r="L112" i="1" s="1"/>
  <c r="L187" i="1" s="1"/>
  <c r="L260" i="1" s="1"/>
  <c r="G98" i="1"/>
  <c r="G169" i="1"/>
  <c r="G170" i="1" s="1"/>
  <c r="D315" i="1"/>
  <c r="E315" i="1" s="1"/>
  <c r="F315" i="1" s="1"/>
  <c r="G315" i="1" s="1"/>
  <c r="H315" i="1" s="1"/>
  <c r="I315" i="1" s="1"/>
  <c r="J315" i="1" s="1"/>
  <c r="K315" i="1" s="1"/>
  <c r="L315" i="1" s="1"/>
  <c r="M315" i="1" s="1"/>
  <c r="D252" i="1"/>
  <c r="E252" i="1" s="1"/>
  <c r="F252" i="1" s="1"/>
  <c r="G252" i="1" s="1"/>
  <c r="F157" i="1"/>
  <c r="F158" i="1" s="1"/>
  <c r="F159" i="1" s="1"/>
  <c r="F90" i="1"/>
  <c r="H98" i="1"/>
  <c r="H169" i="1"/>
  <c r="H170" i="1" s="1"/>
  <c r="L184" i="1"/>
  <c r="L343" i="1"/>
  <c r="K90" i="1"/>
  <c r="K157" i="1"/>
  <c r="K158" i="1" s="1"/>
  <c r="K159" i="1" s="1"/>
  <c r="C169" i="1"/>
  <c r="C170" i="1" s="1"/>
  <c r="C98" i="1"/>
  <c r="G90" i="1"/>
  <c r="G157" i="1"/>
  <c r="G158" i="1" s="1"/>
  <c r="G159" i="1" s="1"/>
  <c r="C90" i="1"/>
  <c r="C157" i="1"/>
  <c r="C158" i="1" s="1"/>
  <c r="C159" i="1" s="1"/>
  <c r="H157" i="1"/>
  <c r="H158" i="1" s="1"/>
  <c r="H159" i="1" s="1"/>
  <c r="H90" i="1"/>
  <c r="F245" i="1"/>
  <c r="F247" i="1"/>
  <c r="F250" i="1" s="1"/>
  <c r="D309" i="1"/>
  <c r="D267" i="1"/>
  <c r="E370" i="1"/>
  <c r="J98" i="1"/>
  <c r="J169" i="1"/>
  <c r="J170" i="1" s="1"/>
  <c r="C316" i="1"/>
  <c r="C366" i="1" s="1"/>
  <c r="C375" i="1" s="1"/>
  <c r="E227" i="1"/>
  <c r="E301" i="1" s="1"/>
  <c r="D350" i="1"/>
  <c r="F98" i="1"/>
  <c r="F169" i="1"/>
  <c r="F170" i="1" s="1"/>
  <c r="K98" i="1"/>
  <c r="K169" i="1"/>
  <c r="K170" i="1" s="1"/>
  <c r="E98" i="1"/>
  <c r="E169" i="1"/>
  <c r="E170" i="1" s="1"/>
  <c r="D286" i="1"/>
  <c r="D228" i="1"/>
  <c r="E157" i="1"/>
  <c r="E158" i="1" s="1"/>
  <c r="E159" i="1" s="1"/>
  <c r="E90" i="1"/>
  <c r="I90" i="1"/>
  <c r="I157" i="1"/>
  <c r="I158" i="1" s="1"/>
  <c r="I159" i="1" s="1"/>
  <c r="J184" i="1" l="1"/>
  <c r="J343" i="1"/>
  <c r="K350" i="1"/>
  <c r="L227" i="1"/>
  <c r="L301" i="1" s="1"/>
  <c r="E267" i="1"/>
  <c r="F370" i="1"/>
  <c r="K89" i="1"/>
  <c r="K127" i="1"/>
  <c r="K109" i="1"/>
  <c r="K111" i="1" s="1"/>
  <c r="K112" i="1" s="1"/>
  <c r="K187" i="1" s="1"/>
  <c r="K260" i="1" s="1"/>
  <c r="F184" i="1"/>
  <c r="F343" i="1"/>
  <c r="I227" i="1"/>
  <c r="I301" i="1" s="1"/>
  <c r="H350" i="1"/>
  <c r="D151" i="1"/>
  <c r="D152" i="1" s="1"/>
  <c r="D153" i="1" s="1"/>
  <c r="D155" i="1" s="1"/>
  <c r="D104" i="1"/>
  <c r="D106" i="1" s="1"/>
  <c r="G247" i="1"/>
  <c r="G250" i="1" s="1"/>
  <c r="G245" i="1"/>
  <c r="F309" i="1" s="1"/>
  <c r="E309" i="1"/>
  <c r="L192" i="1"/>
  <c r="L265" i="1" s="1"/>
  <c r="L257" i="1"/>
  <c r="L323" i="1" s="1"/>
  <c r="L191" i="1"/>
  <c r="L264" i="1" s="1"/>
  <c r="D357" i="1"/>
  <c r="H343" i="1"/>
  <c r="H184" i="1"/>
  <c r="L344" i="1"/>
  <c r="L357" i="1" s="1"/>
  <c r="G227" i="1"/>
  <c r="G301" i="1" s="1"/>
  <c r="F350" i="1"/>
  <c r="I89" i="1"/>
  <c r="I109" i="1"/>
  <c r="I111" i="1" s="1"/>
  <c r="I112" i="1" s="1"/>
  <c r="I187" i="1" s="1"/>
  <c r="I260" i="1" s="1"/>
  <c r="I127" i="1"/>
  <c r="C109" i="1"/>
  <c r="C111" i="1" s="1"/>
  <c r="C112" i="1" s="1"/>
  <c r="C187" i="1" s="1"/>
  <c r="C260" i="1" s="1"/>
  <c r="C127" i="1"/>
  <c r="C89" i="1"/>
  <c r="F109" i="1"/>
  <c r="F111" i="1" s="1"/>
  <c r="F112" i="1" s="1"/>
  <c r="F187" i="1" s="1"/>
  <c r="F260" i="1" s="1"/>
  <c r="F127" i="1"/>
  <c r="F89" i="1"/>
  <c r="H89" i="1"/>
  <c r="H109" i="1"/>
  <c r="H111" i="1" s="1"/>
  <c r="H112" i="1" s="1"/>
  <c r="H187" i="1" s="1"/>
  <c r="H260" i="1" s="1"/>
  <c r="H127" i="1"/>
  <c r="E89" i="1"/>
  <c r="E109" i="1"/>
  <c r="E111" i="1" s="1"/>
  <c r="E112" i="1" s="1"/>
  <c r="E187" i="1" s="1"/>
  <c r="E260" i="1" s="1"/>
  <c r="E127" i="1"/>
  <c r="L104" i="1"/>
  <c r="L106" i="1" s="1"/>
  <c r="L151" i="1"/>
  <c r="L152" i="1" s="1"/>
  <c r="L153" i="1" s="1"/>
  <c r="L155" i="1" s="1"/>
  <c r="J350" i="1"/>
  <c r="K227" i="1"/>
  <c r="K301" i="1" s="1"/>
  <c r="G89" i="1"/>
  <c r="G109" i="1"/>
  <c r="G111" i="1" s="1"/>
  <c r="G112" i="1" s="1"/>
  <c r="G187" i="1" s="1"/>
  <c r="G260" i="1" s="1"/>
  <c r="G127" i="1"/>
  <c r="J89" i="1"/>
  <c r="J127" i="1"/>
  <c r="J109" i="1"/>
  <c r="J111" i="1" s="1"/>
  <c r="J112" i="1" s="1"/>
  <c r="J187" i="1" s="1"/>
  <c r="J260" i="1" s="1"/>
  <c r="D344" i="1"/>
  <c r="D227" i="1"/>
  <c r="D301" i="1" s="1"/>
  <c r="C350" i="1"/>
  <c r="H227" i="1"/>
  <c r="H301" i="1" s="1"/>
  <c r="G350" i="1"/>
  <c r="D191" i="1"/>
  <c r="D264" i="1" s="1"/>
  <c r="D257" i="1"/>
  <c r="D323" i="1" s="1"/>
  <c r="D192" i="1"/>
  <c r="D265" i="1" s="1"/>
  <c r="F227" i="1"/>
  <c r="F301" i="1" s="1"/>
  <c r="E350" i="1"/>
  <c r="G343" i="1"/>
  <c r="G184" i="1"/>
  <c r="J227" i="1"/>
  <c r="J301" i="1" s="1"/>
  <c r="I350" i="1"/>
  <c r="K184" i="1"/>
  <c r="K343" i="1"/>
  <c r="E228" i="1"/>
  <c r="D302" i="1"/>
  <c r="C345" i="1"/>
  <c r="C184" i="1"/>
  <c r="C343" i="1"/>
  <c r="E184" i="1"/>
  <c r="E343" i="1"/>
  <c r="I184" i="1"/>
  <c r="I343" i="1"/>
  <c r="I344" i="1" l="1"/>
  <c r="C151" i="1"/>
  <c r="C152" i="1" s="1"/>
  <c r="C153" i="1" s="1"/>
  <c r="C155" i="1" s="1"/>
  <c r="C104" i="1"/>
  <c r="C106" i="1" s="1"/>
  <c r="H344" i="1"/>
  <c r="H357" i="1" s="1"/>
  <c r="E344" i="1"/>
  <c r="G344" i="1"/>
  <c r="L174" i="1"/>
  <c r="L175" i="1" s="1"/>
  <c r="L107" i="1"/>
  <c r="M372" i="1"/>
  <c r="F192" i="1"/>
  <c r="F265" i="1" s="1"/>
  <c r="F191" i="1"/>
  <c r="F264" i="1" s="1"/>
  <c r="F257" i="1"/>
  <c r="F323" i="1" s="1"/>
  <c r="G257" i="1"/>
  <c r="G323" i="1" s="1"/>
  <c r="G192" i="1"/>
  <c r="G265" i="1" s="1"/>
  <c r="G191" i="1"/>
  <c r="G264" i="1" s="1"/>
  <c r="E192" i="1"/>
  <c r="E265" i="1" s="1"/>
  <c r="E191" i="1"/>
  <c r="E264" i="1" s="1"/>
  <c r="E257" i="1"/>
  <c r="E323" i="1" s="1"/>
  <c r="E357" i="1"/>
  <c r="C344" i="1"/>
  <c r="C351" i="1"/>
  <c r="C191" i="1"/>
  <c r="C264" i="1" s="1"/>
  <c r="C192" i="1"/>
  <c r="C265" i="1" s="1"/>
  <c r="C257" i="1"/>
  <c r="C323" i="1" s="1"/>
  <c r="E151" i="1"/>
  <c r="E152" i="1" s="1"/>
  <c r="E153" i="1" s="1"/>
  <c r="E155" i="1" s="1"/>
  <c r="E104" i="1"/>
  <c r="E106" i="1" s="1"/>
  <c r="I104" i="1"/>
  <c r="I106" i="1" s="1"/>
  <c r="I151" i="1"/>
  <c r="I152" i="1" s="1"/>
  <c r="I153" i="1" s="1"/>
  <c r="I155" i="1" s="1"/>
  <c r="K104" i="1"/>
  <c r="K106" i="1" s="1"/>
  <c r="K151" i="1"/>
  <c r="K152" i="1" s="1"/>
  <c r="K153" i="1" s="1"/>
  <c r="K155" i="1" s="1"/>
  <c r="I192" i="1"/>
  <c r="I265" i="1" s="1"/>
  <c r="I257" i="1"/>
  <c r="I323" i="1" s="1"/>
  <c r="I191" i="1"/>
  <c r="I264" i="1" s="1"/>
  <c r="J104" i="1"/>
  <c r="J106" i="1" s="1"/>
  <c r="J151" i="1"/>
  <c r="J152" i="1" s="1"/>
  <c r="J153" i="1" s="1"/>
  <c r="J155" i="1" s="1"/>
  <c r="F228" i="1"/>
  <c r="E302" i="1"/>
  <c r="D345" i="1"/>
  <c r="D351" i="1" s="1"/>
  <c r="H104" i="1"/>
  <c r="H106" i="1" s="1"/>
  <c r="H151" i="1"/>
  <c r="H152" i="1" s="1"/>
  <c r="H153" i="1" s="1"/>
  <c r="H155" i="1" s="1"/>
  <c r="G370" i="1"/>
  <c r="F267" i="1"/>
  <c r="K344" i="1"/>
  <c r="K357" i="1" s="1"/>
  <c r="G357" i="1"/>
  <c r="F151" i="1"/>
  <c r="F152" i="1" s="1"/>
  <c r="F153" i="1" s="1"/>
  <c r="F155" i="1" s="1"/>
  <c r="F104" i="1"/>
  <c r="F106" i="1" s="1"/>
  <c r="D107" i="1"/>
  <c r="D174" i="1"/>
  <c r="D175" i="1" s="1"/>
  <c r="E372" i="1"/>
  <c r="F344" i="1"/>
  <c r="F357" i="1" s="1"/>
  <c r="K192" i="1"/>
  <c r="K265" i="1" s="1"/>
  <c r="K257" i="1"/>
  <c r="K323" i="1" s="1"/>
  <c r="K191" i="1"/>
  <c r="K264" i="1" s="1"/>
  <c r="G104" i="1"/>
  <c r="G106" i="1" s="1"/>
  <c r="G151" i="1"/>
  <c r="G152" i="1" s="1"/>
  <c r="G153" i="1" s="1"/>
  <c r="G155" i="1" s="1"/>
  <c r="E224" i="1"/>
  <c r="E298" i="1" s="1"/>
  <c r="J344" i="1"/>
  <c r="J357" i="1" s="1"/>
  <c r="I357" i="1"/>
  <c r="C357" i="1"/>
  <c r="H192" i="1"/>
  <c r="H265" i="1" s="1"/>
  <c r="H257" i="1"/>
  <c r="H323" i="1" s="1"/>
  <c r="H191" i="1"/>
  <c r="H264" i="1" s="1"/>
  <c r="J192" i="1"/>
  <c r="J265" i="1" s="1"/>
  <c r="J191" i="1"/>
  <c r="J264" i="1" s="1"/>
  <c r="J257" i="1"/>
  <c r="J323" i="1" s="1"/>
  <c r="H224" i="1" l="1"/>
  <c r="H298" i="1" s="1"/>
  <c r="E231" i="1"/>
  <c r="D385" i="1"/>
  <c r="H174" i="1"/>
  <c r="H175" i="1" s="1"/>
  <c r="H107" i="1"/>
  <c r="I372" i="1"/>
  <c r="K107" i="1"/>
  <c r="K174" i="1"/>
  <c r="K175" i="1" s="1"/>
  <c r="L372" i="1"/>
  <c r="F107" i="1"/>
  <c r="F174" i="1"/>
  <c r="F175" i="1" s="1"/>
  <c r="G372" i="1"/>
  <c r="I174" i="1"/>
  <c r="I175" i="1" s="1"/>
  <c r="I107" i="1"/>
  <c r="J372" i="1"/>
  <c r="D119" i="1"/>
  <c r="D120" i="1" s="1"/>
  <c r="D121" i="1" s="1"/>
  <c r="D186" i="1"/>
  <c r="G224" i="1"/>
  <c r="G298" i="1" s="1"/>
  <c r="G228" i="1"/>
  <c r="F302" i="1"/>
  <c r="E345" i="1"/>
  <c r="E351" i="1" s="1"/>
  <c r="E107" i="1"/>
  <c r="E174" i="1"/>
  <c r="E175" i="1" s="1"/>
  <c r="F372" i="1"/>
  <c r="L119" i="1"/>
  <c r="L120" i="1" s="1"/>
  <c r="L121" i="1" s="1"/>
  <c r="L186" i="1"/>
  <c r="G107" i="1"/>
  <c r="G174" i="1"/>
  <c r="G175" i="1" s="1"/>
  <c r="H372" i="1"/>
  <c r="K224" i="1"/>
  <c r="K298" i="1" s="1"/>
  <c r="F224" i="1"/>
  <c r="F298" i="1" s="1"/>
  <c r="M231" i="1"/>
  <c r="L385" i="1"/>
  <c r="J224" i="1"/>
  <c r="J298" i="1" s="1"/>
  <c r="J174" i="1"/>
  <c r="J175" i="1" s="1"/>
  <c r="J107" i="1"/>
  <c r="K372" i="1"/>
  <c r="C107" i="1"/>
  <c r="C174" i="1"/>
  <c r="C175" i="1" s="1"/>
  <c r="D372" i="1"/>
  <c r="D224" i="1"/>
  <c r="I224" i="1"/>
  <c r="I298" i="1" s="1"/>
  <c r="L224" i="1"/>
  <c r="L298" i="1" s="1"/>
  <c r="C186" i="1" l="1"/>
  <c r="C119" i="1"/>
  <c r="C120" i="1" s="1"/>
  <c r="C121" i="1" s="1"/>
  <c r="F186" i="1"/>
  <c r="F119" i="1"/>
  <c r="F120" i="1" s="1"/>
  <c r="F121" i="1" s="1"/>
  <c r="J119" i="1"/>
  <c r="J120" i="1" s="1"/>
  <c r="J121" i="1" s="1"/>
  <c r="J186" i="1"/>
  <c r="L231" i="1"/>
  <c r="K385" i="1"/>
  <c r="K231" i="1"/>
  <c r="J385" i="1"/>
  <c r="K119" i="1"/>
  <c r="K120" i="1" s="1"/>
  <c r="K121" i="1" s="1"/>
  <c r="K186" i="1"/>
  <c r="H231" i="1"/>
  <c r="G385" i="1"/>
  <c r="G119" i="1"/>
  <c r="G120" i="1" s="1"/>
  <c r="G121" i="1" s="1"/>
  <c r="G186" i="1"/>
  <c r="D189" i="1"/>
  <c r="D259" i="1"/>
  <c r="H119" i="1"/>
  <c r="H120" i="1" s="1"/>
  <c r="H121" i="1" s="1"/>
  <c r="H186" i="1"/>
  <c r="L189" i="1"/>
  <c r="L259" i="1"/>
  <c r="D128" i="1"/>
  <c r="D129" i="1" s="1"/>
  <c r="D130" i="1" s="1"/>
  <c r="D142" i="1" s="1"/>
  <c r="D143" i="1" s="1"/>
  <c r="D144" i="1" s="1"/>
  <c r="D160" i="1"/>
  <c r="D161" i="1" s="1"/>
  <c r="I231" i="1"/>
  <c r="H385" i="1"/>
  <c r="L160" i="1"/>
  <c r="L161" i="1" s="1"/>
  <c r="L128" i="1"/>
  <c r="L129" i="1" s="1"/>
  <c r="L130" i="1" s="1"/>
  <c r="L142" i="1" s="1"/>
  <c r="L143" i="1" s="1"/>
  <c r="L144" i="1" s="1"/>
  <c r="D298" i="1"/>
  <c r="M305" i="1"/>
  <c r="I119" i="1"/>
  <c r="I120" i="1" s="1"/>
  <c r="I121" i="1" s="1"/>
  <c r="I186" i="1"/>
  <c r="E305" i="1"/>
  <c r="G302" i="1"/>
  <c r="H228" i="1"/>
  <c r="F345" i="1"/>
  <c r="F351" i="1" s="1"/>
  <c r="F231" i="1"/>
  <c r="E385" i="1"/>
  <c r="J231" i="1"/>
  <c r="I385" i="1"/>
  <c r="E119" i="1"/>
  <c r="E120" i="1" s="1"/>
  <c r="E121" i="1" s="1"/>
  <c r="E186" i="1"/>
  <c r="D231" i="1"/>
  <c r="C385" i="1"/>
  <c r="G231" i="1"/>
  <c r="F385" i="1"/>
  <c r="G305" i="1" l="1"/>
  <c r="E371" i="1"/>
  <c r="E379" i="1" s="1"/>
  <c r="E225" i="1"/>
  <c r="E299" i="1" s="1"/>
  <c r="K259" i="1"/>
  <c r="K189" i="1"/>
  <c r="K128" i="1"/>
  <c r="K129" i="1" s="1"/>
  <c r="K130" i="1" s="1"/>
  <c r="K142" i="1" s="1"/>
  <c r="K143" i="1" s="1"/>
  <c r="K144" i="1" s="1"/>
  <c r="K160" i="1"/>
  <c r="K161" i="1" s="1"/>
  <c r="D305" i="1"/>
  <c r="I189" i="1"/>
  <c r="I259" i="1"/>
  <c r="E189" i="1"/>
  <c r="E259" i="1"/>
  <c r="I128" i="1"/>
  <c r="I129" i="1" s="1"/>
  <c r="I130" i="1" s="1"/>
  <c r="I142" i="1" s="1"/>
  <c r="I143" i="1" s="1"/>
  <c r="I144" i="1" s="1"/>
  <c r="I160" i="1"/>
  <c r="I161" i="1" s="1"/>
  <c r="L262" i="1"/>
  <c r="L190" i="1"/>
  <c r="K305" i="1"/>
  <c r="E128" i="1"/>
  <c r="E129" i="1" s="1"/>
  <c r="E130" i="1" s="1"/>
  <c r="E142" i="1" s="1"/>
  <c r="E143" i="1" s="1"/>
  <c r="E144" i="1" s="1"/>
  <c r="E160" i="1"/>
  <c r="E161" i="1" s="1"/>
  <c r="M371" i="1"/>
  <c r="M379" i="1" s="1"/>
  <c r="H189" i="1"/>
  <c r="H259" i="1"/>
  <c r="H128" i="1"/>
  <c r="H129" i="1" s="1"/>
  <c r="H130" i="1" s="1"/>
  <c r="H142" i="1" s="1"/>
  <c r="H143" i="1" s="1"/>
  <c r="H144" i="1" s="1"/>
  <c r="H160" i="1"/>
  <c r="H161" i="1" s="1"/>
  <c r="L305" i="1"/>
  <c r="D166" i="1"/>
  <c r="D167" i="1" s="1"/>
  <c r="E226" i="1" s="1"/>
  <c r="E300" i="1" s="1"/>
  <c r="D349" i="1"/>
  <c r="J305" i="1"/>
  <c r="J259" i="1"/>
  <c r="J189" i="1"/>
  <c r="D262" i="1"/>
  <c r="D190" i="1"/>
  <c r="J128" i="1"/>
  <c r="J129" i="1" s="1"/>
  <c r="J130" i="1" s="1"/>
  <c r="J142" i="1" s="1"/>
  <c r="J143" i="1" s="1"/>
  <c r="J144" i="1" s="1"/>
  <c r="J160" i="1"/>
  <c r="J161" i="1" s="1"/>
  <c r="F305" i="1"/>
  <c r="L166" i="1"/>
  <c r="L167" i="1" s="1"/>
  <c r="L171" i="1" s="1"/>
  <c r="L349" i="1"/>
  <c r="G189" i="1"/>
  <c r="G259" i="1"/>
  <c r="F128" i="1"/>
  <c r="F129" i="1" s="1"/>
  <c r="F130" i="1" s="1"/>
  <c r="F142" i="1" s="1"/>
  <c r="F143" i="1" s="1"/>
  <c r="F144" i="1" s="1"/>
  <c r="F160" i="1"/>
  <c r="F161" i="1" s="1"/>
  <c r="G128" i="1"/>
  <c r="G129" i="1" s="1"/>
  <c r="G130" i="1" s="1"/>
  <c r="G142" i="1" s="1"/>
  <c r="G143" i="1" s="1"/>
  <c r="G144" i="1" s="1"/>
  <c r="G160" i="1"/>
  <c r="G161" i="1" s="1"/>
  <c r="F259" i="1"/>
  <c r="F189" i="1"/>
  <c r="I228" i="1"/>
  <c r="H302" i="1"/>
  <c r="G345" i="1"/>
  <c r="G351" i="1" s="1"/>
  <c r="C128" i="1"/>
  <c r="C129" i="1" s="1"/>
  <c r="C130" i="1" s="1"/>
  <c r="C142" i="1" s="1"/>
  <c r="C143" i="1" s="1"/>
  <c r="C144" i="1" s="1"/>
  <c r="C160" i="1"/>
  <c r="C161" i="1" s="1"/>
  <c r="I305" i="1"/>
  <c r="H305" i="1"/>
  <c r="C189" i="1"/>
  <c r="C259" i="1"/>
  <c r="L177" i="1" l="1"/>
  <c r="L384" i="1"/>
  <c r="E166" i="1"/>
  <c r="E167" i="1" s="1"/>
  <c r="F226" i="1" s="1"/>
  <c r="F300" i="1" s="1"/>
  <c r="E349" i="1"/>
  <c r="D371" i="1"/>
  <c r="D379" i="1" s="1"/>
  <c r="K166" i="1"/>
  <c r="K167" i="1" s="1"/>
  <c r="L226" i="1" s="1"/>
  <c r="L300" i="1" s="1"/>
  <c r="K349" i="1"/>
  <c r="F262" i="1"/>
  <c r="F190" i="1"/>
  <c r="F371" i="1"/>
  <c r="F379" i="1" s="1"/>
  <c r="L193" i="1"/>
  <c r="L263" i="1"/>
  <c r="K262" i="1"/>
  <c r="K190" i="1"/>
  <c r="K371" i="1"/>
  <c r="K379" i="1" s="1"/>
  <c r="K225" i="1"/>
  <c r="K299" i="1" s="1"/>
  <c r="J348" i="1"/>
  <c r="J171" i="1"/>
  <c r="L371" i="1"/>
  <c r="L379" i="1" s="1"/>
  <c r="H225" i="1"/>
  <c r="H299" i="1" s="1"/>
  <c r="J166" i="1"/>
  <c r="J167" i="1" s="1"/>
  <c r="K226" i="1" s="1"/>
  <c r="K300" i="1" s="1"/>
  <c r="J349" i="1"/>
  <c r="I225" i="1"/>
  <c r="I299" i="1" s="1"/>
  <c r="H348" i="1"/>
  <c r="J225" i="1"/>
  <c r="J299" i="1" s="1"/>
  <c r="I348" i="1"/>
  <c r="D348" i="1"/>
  <c r="D355" i="1" s="1"/>
  <c r="H371" i="1"/>
  <c r="H379" i="1" s="1"/>
  <c r="G166" i="1"/>
  <c r="G167" i="1" s="1"/>
  <c r="H226" i="1" s="1"/>
  <c r="H300" i="1" s="1"/>
  <c r="G349" i="1"/>
  <c r="D193" i="1"/>
  <c r="D263" i="1"/>
  <c r="H166" i="1"/>
  <c r="H167" i="1" s="1"/>
  <c r="I226" i="1" s="1"/>
  <c r="I300" i="1" s="1"/>
  <c r="H349" i="1"/>
  <c r="H355" i="1" s="1"/>
  <c r="I166" i="1"/>
  <c r="I167" i="1" s="1"/>
  <c r="J226" i="1" s="1"/>
  <c r="J300" i="1" s="1"/>
  <c r="I349" i="1"/>
  <c r="D171" i="1"/>
  <c r="L225" i="1"/>
  <c r="L299" i="1" s="1"/>
  <c r="K348" i="1"/>
  <c r="E303" i="1"/>
  <c r="I371" i="1"/>
  <c r="I379" i="1" s="1"/>
  <c r="G225" i="1"/>
  <c r="G299" i="1" s="1"/>
  <c r="F171" i="1"/>
  <c r="F348" i="1"/>
  <c r="H262" i="1"/>
  <c r="H190" i="1"/>
  <c r="E262" i="1"/>
  <c r="E190" i="1"/>
  <c r="I302" i="1"/>
  <c r="J228" i="1"/>
  <c r="H345" i="1"/>
  <c r="H351" i="1" s="1"/>
  <c r="F166" i="1"/>
  <c r="F167" i="1" s="1"/>
  <c r="G226" i="1" s="1"/>
  <c r="G300" i="1" s="1"/>
  <c r="F349" i="1"/>
  <c r="J262" i="1"/>
  <c r="J190" i="1"/>
  <c r="D225" i="1"/>
  <c r="C171" i="1"/>
  <c r="C348" i="1"/>
  <c r="I262" i="1"/>
  <c r="I190" i="1"/>
  <c r="G371" i="1"/>
  <c r="G379" i="1" s="1"/>
  <c r="C262" i="1"/>
  <c r="C190" i="1"/>
  <c r="C166" i="1"/>
  <c r="C167" i="1" s="1"/>
  <c r="D226" i="1" s="1"/>
  <c r="D300" i="1" s="1"/>
  <c r="C349" i="1"/>
  <c r="G262" i="1"/>
  <c r="G190" i="1"/>
  <c r="J371" i="1"/>
  <c r="J379" i="1" s="1"/>
  <c r="F225" i="1"/>
  <c r="F299" i="1" s="1"/>
  <c r="E171" i="1"/>
  <c r="E348" i="1"/>
  <c r="D177" i="1" l="1"/>
  <c r="D384" i="1"/>
  <c r="F263" i="1"/>
  <c r="F193" i="1"/>
  <c r="C384" i="1"/>
  <c r="C177" i="1"/>
  <c r="C179" i="1" s="1"/>
  <c r="H193" i="1"/>
  <c r="H263" i="1"/>
  <c r="I355" i="1"/>
  <c r="I171" i="1"/>
  <c r="J384" i="1"/>
  <c r="J177" i="1"/>
  <c r="I193" i="1"/>
  <c r="I263" i="1"/>
  <c r="E193" i="1"/>
  <c r="E263" i="1"/>
  <c r="G263" i="1"/>
  <c r="G193" i="1"/>
  <c r="D299" i="1"/>
  <c r="D303" i="1" s="1"/>
  <c r="D229" i="1"/>
  <c r="K355" i="1"/>
  <c r="C355" i="1"/>
  <c r="J193" i="1"/>
  <c r="J263" i="1"/>
  <c r="F177" i="1"/>
  <c r="F384" i="1"/>
  <c r="H171" i="1"/>
  <c r="E177" i="1"/>
  <c r="E179" i="1" s="1"/>
  <c r="F209" i="1" s="1"/>
  <c r="E384" i="1"/>
  <c r="C193" i="1"/>
  <c r="C263" i="1"/>
  <c r="F355" i="1"/>
  <c r="D266" i="1"/>
  <c r="D269" i="1" s="1"/>
  <c r="D196" i="1"/>
  <c r="J355" i="1"/>
  <c r="K193" i="1"/>
  <c r="K263" i="1"/>
  <c r="E355" i="1"/>
  <c r="D347" i="1"/>
  <c r="D354" i="1" s="1"/>
  <c r="E363" i="1"/>
  <c r="G348" i="1"/>
  <c r="G355" i="1" s="1"/>
  <c r="L388" i="1"/>
  <c r="L386" i="1"/>
  <c r="L389" i="1" s="1"/>
  <c r="K228" i="1"/>
  <c r="J302" i="1"/>
  <c r="I345" i="1"/>
  <c r="I351" i="1" s="1"/>
  <c r="K171" i="1"/>
  <c r="G171" i="1"/>
  <c r="L196" i="1"/>
  <c r="L266" i="1"/>
  <c r="L269" i="1" s="1"/>
  <c r="K177" i="1" l="1"/>
  <c r="K179" i="1" s="1"/>
  <c r="L209" i="1" s="1"/>
  <c r="K384" i="1"/>
  <c r="K196" i="1"/>
  <c r="K266" i="1"/>
  <c r="K269" i="1" s="1"/>
  <c r="D197" i="1"/>
  <c r="D198" i="1" s="1"/>
  <c r="D326" i="1"/>
  <c r="I177" i="1"/>
  <c r="I179" i="1" s="1"/>
  <c r="J209" i="1" s="1"/>
  <c r="I384" i="1"/>
  <c r="L228" i="1"/>
  <c r="J345" i="1"/>
  <c r="J351" i="1" s="1"/>
  <c r="K302" i="1"/>
  <c r="D271" i="1"/>
  <c r="D270" i="1"/>
  <c r="C327" i="1"/>
  <c r="C346" i="1"/>
  <c r="C353" i="1" s="1"/>
  <c r="D362" i="1"/>
  <c r="J196" i="1"/>
  <c r="J266" i="1"/>
  <c r="J269" i="1" s="1"/>
  <c r="C347" i="1"/>
  <c r="C354" i="1" s="1"/>
  <c r="D363" i="1"/>
  <c r="H196" i="1"/>
  <c r="H266" i="1"/>
  <c r="H269" i="1" s="1"/>
  <c r="C266" i="1"/>
  <c r="C269" i="1" s="1"/>
  <c r="C196" i="1"/>
  <c r="G196" i="1"/>
  <c r="G266" i="1"/>
  <c r="G269" i="1" s="1"/>
  <c r="D209" i="1"/>
  <c r="J386" i="1"/>
  <c r="J389" i="1" s="1"/>
  <c r="J388" i="1"/>
  <c r="E388" i="1"/>
  <c r="E386" i="1"/>
  <c r="E389" i="1" s="1"/>
  <c r="C386" i="1"/>
  <c r="C389" i="1" s="1"/>
  <c r="C388" i="1"/>
  <c r="F283" i="1"/>
  <c r="F284" i="1" s="1"/>
  <c r="F210" i="1"/>
  <c r="F266" i="1"/>
  <c r="F269" i="1" s="1"/>
  <c r="F196" i="1"/>
  <c r="L271" i="1"/>
  <c r="L270" i="1"/>
  <c r="H177" i="1"/>
  <c r="H179" i="1" s="1"/>
  <c r="I209" i="1" s="1"/>
  <c r="H384" i="1"/>
  <c r="E196" i="1"/>
  <c r="E266" i="1"/>
  <c r="E269" i="1" s="1"/>
  <c r="L197" i="1"/>
  <c r="L198" i="1" s="1"/>
  <c r="L326" i="1"/>
  <c r="F388" i="1"/>
  <c r="F386" i="1"/>
  <c r="F389" i="1" s="1"/>
  <c r="D388" i="1"/>
  <c r="D386" i="1"/>
  <c r="D389" i="1" s="1"/>
  <c r="G177" i="1"/>
  <c r="G179" i="1" s="1"/>
  <c r="H209" i="1" s="1"/>
  <c r="G384" i="1"/>
  <c r="F179" i="1"/>
  <c r="G209" i="1" s="1"/>
  <c r="I196" i="1"/>
  <c r="I266" i="1"/>
  <c r="I269" i="1" s="1"/>
  <c r="D179" i="1"/>
  <c r="E209" i="1" s="1"/>
  <c r="D200" i="1" l="1"/>
  <c r="E211" i="1"/>
  <c r="D199" i="1"/>
  <c r="D201" i="1" s="1"/>
  <c r="D324" i="1"/>
  <c r="L199" i="1"/>
  <c r="M211" i="1"/>
  <c r="L324" i="1"/>
  <c r="L200" i="1"/>
  <c r="L201" i="1" s="1"/>
  <c r="M232" i="1" s="1"/>
  <c r="H270" i="1"/>
  <c r="H271" i="1" s="1"/>
  <c r="I386" i="1"/>
  <c r="I389" i="1" s="1"/>
  <c r="I388" i="1"/>
  <c r="I197" i="1"/>
  <c r="I198" i="1" s="1"/>
  <c r="I326" i="1"/>
  <c r="E197" i="1"/>
  <c r="E198" i="1" s="1"/>
  <c r="E326" i="1"/>
  <c r="J283" i="1"/>
  <c r="J284" i="1" s="1"/>
  <c r="J210" i="1"/>
  <c r="K345" i="1"/>
  <c r="K351" i="1" s="1"/>
  <c r="L302" i="1"/>
  <c r="G210" i="1"/>
  <c r="G283" i="1"/>
  <c r="G284" i="1" s="1"/>
  <c r="H386" i="1"/>
  <c r="H389" i="1" s="1"/>
  <c r="H388" i="1"/>
  <c r="J270" i="1"/>
  <c r="J271" i="1" s="1"/>
  <c r="E368" i="1"/>
  <c r="E376" i="1" s="1"/>
  <c r="E270" i="1"/>
  <c r="E271" i="1" s="1"/>
  <c r="G388" i="1"/>
  <c r="G386" i="1"/>
  <c r="G389" i="1" s="1"/>
  <c r="I283" i="1"/>
  <c r="I284" i="1" s="1"/>
  <c r="I210" i="1"/>
  <c r="J197" i="1"/>
  <c r="J198" i="1" s="1"/>
  <c r="J326" i="1"/>
  <c r="H210" i="1"/>
  <c r="H283" i="1"/>
  <c r="H284" i="1" s="1"/>
  <c r="D210" i="1"/>
  <c r="D283" i="1"/>
  <c r="D284" i="1" s="1"/>
  <c r="L274" i="1"/>
  <c r="M307" i="1" s="1"/>
  <c r="M285" i="1"/>
  <c r="L273" i="1"/>
  <c r="L272" i="1"/>
  <c r="L325" i="1"/>
  <c r="J179" i="1"/>
  <c r="K209" i="1" s="1"/>
  <c r="I270" i="1"/>
  <c r="I271" i="1" s="1"/>
  <c r="F197" i="1"/>
  <c r="F198" i="1" s="1"/>
  <c r="F326" i="1"/>
  <c r="G270" i="1"/>
  <c r="G271" i="1"/>
  <c r="K271" i="1"/>
  <c r="K270" i="1"/>
  <c r="F271" i="1"/>
  <c r="F270" i="1"/>
  <c r="G197" i="1"/>
  <c r="G198" i="1"/>
  <c r="G326" i="1"/>
  <c r="K198" i="1"/>
  <c r="K197" i="1"/>
  <c r="K326" i="1"/>
  <c r="H197" i="1"/>
  <c r="H198" i="1" s="1"/>
  <c r="H326" i="1"/>
  <c r="C197" i="1"/>
  <c r="C198" i="1" s="1"/>
  <c r="C326" i="1"/>
  <c r="D273" i="1"/>
  <c r="E313" i="1" s="1"/>
  <c r="E285" i="1"/>
  <c r="D325" i="1"/>
  <c r="D272" i="1"/>
  <c r="D274" i="1" s="1"/>
  <c r="K386" i="1"/>
  <c r="K389" i="1" s="1"/>
  <c r="K388" i="1"/>
  <c r="E283" i="1"/>
  <c r="E284" i="1" s="1"/>
  <c r="E287" i="1" s="1"/>
  <c r="E210" i="1"/>
  <c r="M368" i="1"/>
  <c r="C270" i="1"/>
  <c r="C271" i="1" s="1"/>
  <c r="L283" i="1"/>
  <c r="L284" i="1" s="1"/>
  <c r="L210" i="1"/>
  <c r="I199" i="1" l="1"/>
  <c r="J211" i="1"/>
  <c r="J213" i="1" s="1"/>
  <c r="I324" i="1"/>
  <c r="I200" i="1"/>
  <c r="I201" i="1" s="1"/>
  <c r="J273" i="1"/>
  <c r="J325" i="1"/>
  <c r="K285" i="1"/>
  <c r="J272" i="1"/>
  <c r="J274" i="1" s="1"/>
  <c r="D211" i="1"/>
  <c r="D213" i="1" s="1"/>
  <c r="C199" i="1"/>
  <c r="D235" i="1" s="1"/>
  <c r="E235" i="1" s="1"/>
  <c r="F235" i="1" s="1"/>
  <c r="G235" i="1" s="1"/>
  <c r="H235" i="1" s="1"/>
  <c r="C200" i="1"/>
  <c r="D236" i="1" s="1"/>
  <c r="E236" i="1" s="1"/>
  <c r="C324" i="1"/>
  <c r="C325" i="1"/>
  <c r="D285" i="1"/>
  <c r="C272" i="1"/>
  <c r="D312" i="1" s="1"/>
  <c r="E312" i="1" s="1"/>
  <c r="F312" i="1" s="1"/>
  <c r="F215" i="1"/>
  <c r="E232" i="1"/>
  <c r="H199" i="1"/>
  <c r="H201" i="1" s="1"/>
  <c r="I211" i="1"/>
  <c r="I213" i="1" s="1"/>
  <c r="H324" i="1"/>
  <c r="H200" i="1"/>
  <c r="F199" i="1"/>
  <c r="G211" i="1"/>
  <c r="G213" i="1" s="1"/>
  <c r="F200" i="1"/>
  <c r="F201" i="1" s="1"/>
  <c r="F324" i="1"/>
  <c r="I273" i="1"/>
  <c r="I325" i="1"/>
  <c r="I274" i="1"/>
  <c r="J285" i="1"/>
  <c r="I272" i="1"/>
  <c r="F289" i="1"/>
  <c r="E307" i="1"/>
  <c r="E273" i="1"/>
  <c r="E272" i="1"/>
  <c r="F285" i="1"/>
  <c r="F287" i="1" s="1"/>
  <c r="F290" i="1" s="1"/>
  <c r="F291" i="1" s="1"/>
  <c r="F297" i="1" s="1"/>
  <c r="F303" i="1" s="1"/>
  <c r="E325" i="1"/>
  <c r="E274" i="1"/>
  <c r="F211" i="1"/>
  <c r="F213" i="1" s="1"/>
  <c r="F216" i="1" s="1"/>
  <c r="E200" i="1"/>
  <c r="E201" i="1"/>
  <c r="E324" i="1"/>
  <c r="E199" i="1"/>
  <c r="I285" i="1"/>
  <c r="H272" i="1"/>
  <c r="H274" i="1" s="1"/>
  <c r="H273" i="1"/>
  <c r="H325" i="1"/>
  <c r="J199" i="1"/>
  <c r="J200" i="1"/>
  <c r="J201" i="1" s="1"/>
  <c r="K211" i="1"/>
  <c r="K213" i="1" s="1"/>
  <c r="J324" i="1"/>
  <c r="I368" i="1"/>
  <c r="L285" i="1"/>
  <c r="K273" i="1"/>
  <c r="K325" i="1"/>
  <c r="K272" i="1"/>
  <c r="K274" i="1" s="1"/>
  <c r="G368" i="1"/>
  <c r="G376" i="1" s="1"/>
  <c r="D287" i="1"/>
  <c r="J287" i="1"/>
  <c r="L331" i="1"/>
  <c r="H285" i="1"/>
  <c r="G272" i="1"/>
  <c r="G274" i="1" s="1"/>
  <c r="H307" i="1" s="1"/>
  <c r="G325" i="1"/>
  <c r="F368" i="1"/>
  <c r="F376" i="1" s="1"/>
  <c r="H287" i="1"/>
  <c r="D332" i="1"/>
  <c r="L287" i="1"/>
  <c r="H368" i="1"/>
  <c r="H211" i="1"/>
  <c r="H213" i="1" s="1"/>
  <c r="G199" i="1"/>
  <c r="G201" i="1" s="1"/>
  <c r="G324" i="1"/>
  <c r="K368" i="1"/>
  <c r="J368" i="1"/>
  <c r="D331" i="1"/>
  <c r="L368" i="1"/>
  <c r="F313" i="1"/>
  <c r="K283" i="1"/>
  <c r="K284" i="1" s="1"/>
  <c r="K210" i="1"/>
  <c r="D368" i="1"/>
  <c r="D376" i="1" s="1"/>
  <c r="C333" i="1"/>
  <c r="L179" i="1"/>
  <c r="M209" i="1" s="1"/>
  <c r="E213" i="1"/>
  <c r="F272" i="1"/>
  <c r="F274" i="1"/>
  <c r="G285" i="1"/>
  <c r="G287" i="1" s="1"/>
  <c r="F325" i="1"/>
  <c r="F273" i="1"/>
  <c r="L332" i="1"/>
  <c r="K199" i="1"/>
  <c r="K201" i="1" s="1"/>
  <c r="L211" i="1"/>
  <c r="L213" i="1" s="1"/>
  <c r="K324" i="1"/>
  <c r="K200" i="1"/>
  <c r="I287" i="1"/>
  <c r="L215" i="1" l="1"/>
  <c r="K232" i="1"/>
  <c r="H215" i="1"/>
  <c r="G232" i="1"/>
  <c r="H232" i="1"/>
  <c r="I215" i="1"/>
  <c r="I216" i="1" s="1"/>
  <c r="M289" i="1"/>
  <c r="L307" i="1"/>
  <c r="J215" i="1"/>
  <c r="I232" i="1"/>
  <c r="J289" i="1"/>
  <c r="J290" i="1" s="1"/>
  <c r="I307" i="1"/>
  <c r="M215" i="1"/>
  <c r="L232" i="1"/>
  <c r="K215" i="1"/>
  <c r="J232" i="1"/>
  <c r="L289" i="1"/>
  <c r="K307" i="1"/>
  <c r="I289" i="1"/>
  <c r="I290" i="1" s="1"/>
  <c r="E331" i="1"/>
  <c r="I235" i="1"/>
  <c r="J235" i="1" s="1"/>
  <c r="K235" i="1" s="1"/>
  <c r="L235" i="1" s="1"/>
  <c r="M235" i="1" s="1"/>
  <c r="K216" i="1"/>
  <c r="I332" i="1"/>
  <c r="J331" i="1"/>
  <c r="D288" i="1"/>
  <c r="D311" i="1" s="1"/>
  <c r="C396" i="1"/>
  <c r="L290" i="1"/>
  <c r="G289" i="1"/>
  <c r="G290" i="1" s="1"/>
  <c r="G291" i="1" s="1"/>
  <c r="G297" i="1" s="1"/>
  <c r="G303" i="1" s="1"/>
  <c r="F307" i="1"/>
  <c r="F331" i="1"/>
  <c r="G312" i="1"/>
  <c r="H312" i="1" s="1"/>
  <c r="I312" i="1" s="1"/>
  <c r="J312" i="1" s="1"/>
  <c r="K312" i="1" s="1"/>
  <c r="L312" i="1" s="1"/>
  <c r="M312" i="1" s="1"/>
  <c r="J332" i="1"/>
  <c r="K289" i="1"/>
  <c r="J307" i="1"/>
  <c r="K331" i="1"/>
  <c r="M283" i="1"/>
  <c r="M284" i="1" s="1"/>
  <c r="M287" i="1" s="1"/>
  <c r="M210" i="1"/>
  <c r="M213" i="1" s="1"/>
  <c r="M216" i="1" s="1"/>
  <c r="E332" i="1"/>
  <c r="H332" i="1"/>
  <c r="F363" i="1"/>
  <c r="E347" i="1"/>
  <c r="E354" i="1" s="1"/>
  <c r="G216" i="1"/>
  <c r="C274" i="1"/>
  <c r="G331" i="1"/>
  <c r="K332" i="1"/>
  <c r="C332" i="1"/>
  <c r="D214" i="1"/>
  <c r="D234" i="1" s="1"/>
  <c r="C395" i="1"/>
  <c r="L216" i="1"/>
  <c r="G332" i="1"/>
  <c r="I331" i="1"/>
  <c r="G215" i="1"/>
  <c r="F232" i="1"/>
  <c r="K287" i="1"/>
  <c r="H216" i="1"/>
  <c r="C331" i="1"/>
  <c r="G313" i="1"/>
  <c r="H313" i="1" s="1"/>
  <c r="I313" i="1" s="1"/>
  <c r="J313" i="1" s="1"/>
  <c r="K313" i="1" s="1"/>
  <c r="L313" i="1" s="1"/>
  <c r="M313" i="1" s="1"/>
  <c r="F236" i="1"/>
  <c r="G236" i="1" s="1"/>
  <c r="H236" i="1" s="1"/>
  <c r="I236" i="1" s="1"/>
  <c r="J236" i="1" s="1"/>
  <c r="K236" i="1" s="1"/>
  <c r="L236" i="1" s="1"/>
  <c r="M236" i="1" s="1"/>
  <c r="J216" i="1"/>
  <c r="G307" i="1"/>
  <c r="H289" i="1"/>
  <c r="H290" i="1" s="1"/>
  <c r="F332" i="1"/>
  <c r="H331" i="1"/>
  <c r="C201" i="1"/>
  <c r="G363" i="1" l="1"/>
  <c r="F347" i="1"/>
  <c r="F354" i="1" s="1"/>
  <c r="H291" i="1"/>
  <c r="H297" i="1" s="1"/>
  <c r="H303" i="1" s="1"/>
  <c r="C329" i="1"/>
  <c r="C338" i="1" s="1"/>
  <c r="E311" i="1"/>
  <c r="E234" i="1"/>
  <c r="C328" i="1"/>
  <c r="C337" i="1" s="1"/>
  <c r="D232" i="1"/>
  <c r="D239" i="1" s="1"/>
  <c r="D364" i="1" s="1"/>
  <c r="D374" i="1" s="1"/>
  <c r="E215" i="1"/>
  <c r="E216" i="1" s="1"/>
  <c r="E217" i="1" s="1"/>
  <c r="E289" i="1"/>
  <c r="D307" i="1"/>
  <c r="D316" i="1" s="1"/>
  <c r="D366" i="1" s="1"/>
  <c r="D375" i="1" s="1"/>
  <c r="K290" i="1"/>
  <c r="M290" i="1"/>
  <c r="F311" i="1" l="1"/>
  <c r="D329" i="1"/>
  <c r="D338" i="1" s="1"/>
  <c r="E316" i="1"/>
  <c r="E366" i="1" s="1"/>
  <c r="E375" i="1" s="1"/>
  <c r="E223" i="1"/>
  <c r="E229" i="1" s="1"/>
  <c r="F217" i="1"/>
  <c r="G347" i="1"/>
  <c r="G354" i="1" s="1"/>
  <c r="H363" i="1"/>
  <c r="I291" i="1"/>
  <c r="F234" i="1"/>
  <c r="D328" i="1"/>
  <c r="D337" i="1" s="1"/>
  <c r="E239" i="1"/>
  <c r="E364" i="1" s="1"/>
  <c r="E328" i="1" l="1"/>
  <c r="E337" i="1" s="1"/>
  <c r="G234" i="1"/>
  <c r="F239" i="1"/>
  <c r="F364" i="1" s="1"/>
  <c r="F223" i="1"/>
  <c r="F229" i="1" s="1"/>
  <c r="G217" i="1"/>
  <c r="D327" i="1"/>
  <c r="D333" i="1" s="1"/>
  <c r="E362" i="1"/>
  <c r="E374" i="1" s="1"/>
  <c r="D346" i="1"/>
  <c r="D353" i="1" s="1"/>
  <c r="I297" i="1"/>
  <c r="I303" i="1" s="1"/>
  <c r="J291" i="1"/>
  <c r="G311" i="1"/>
  <c r="E329" i="1"/>
  <c r="E338" i="1" s="1"/>
  <c r="F316" i="1"/>
  <c r="F366" i="1" s="1"/>
  <c r="F375" i="1" s="1"/>
  <c r="J297" i="1" l="1"/>
  <c r="J303" i="1" s="1"/>
  <c r="K291" i="1"/>
  <c r="H347" i="1"/>
  <c r="H354" i="1" s="1"/>
  <c r="I363" i="1"/>
  <c r="H217" i="1"/>
  <c r="G223" i="1"/>
  <c r="G229" i="1" s="1"/>
  <c r="F328" i="1"/>
  <c r="F337" i="1" s="1"/>
  <c r="H234" i="1"/>
  <c r="G239" i="1"/>
  <c r="G364" i="1" s="1"/>
  <c r="H311" i="1"/>
  <c r="F329" i="1"/>
  <c r="F338" i="1" s="1"/>
  <c r="G316" i="1"/>
  <c r="G366" i="1" s="1"/>
  <c r="G375" i="1" s="1"/>
  <c r="E346" i="1"/>
  <c r="E353" i="1" s="1"/>
  <c r="F362" i="1"/>
  <c r="F374" i="1" s="1"/>
  <c r="E327" i="1"/>
  <c r="E333" i="1" s="1"/>
  <c r="I234" i="1" l="1"/>
  <c r="G328" i="1"/>
  <c r="G337" i="1" s="1"/>
  <c r="H239" i="1"/>
  <c r="H364" i="1" s="1"/>
  <c r="G329" i="1"/>
  <c r="G338" i="1" s="1"/>
  <c r="I311" i="1"/>
  <c r="H316" i="1"/>
  <c r="H366" i="1" s="1"/>
  <c r="H375" i="1" s="1"/>
  <c r="G374" i="1"/>
  <c r="I217" i="1"/>
  <c r="H223" i="1"/>
  <c r="H229" i="1" s="1"/>
  <c r="K297" i="1"/>
  <c r="K303" i="1" s="1"/>
  <c r="L291" i="1"/>
  <c r="F346" i="1"/>
  <c r="F353" i="1" s="1"/>
  <c r="G362" i="1"/>
  <c r="F327" i="1"/>
  <c r="F333" i="1" s="1"/>
  <c r="I347" i="1"/>
  <c r="I354" i="1" s="1"/>
  <c r="J363" i="1"/>
  <c r="L297" i="1" l="1"/>
  <c r="L303" i="1" s="1"/>
  <c r="M291" i="1"/>
  <c r="M297" i="1" s="1"/>
  <c r="M303" i="1" s="1"/>
  <c r="G327" i="1"/>
  <c r="G333" i="1" s="1"/>
  <c r="H362" i="1"/>
  <c r="G346" i="1"/>
  <c r="G353" i="1" s="1"/>
  <c r="I223" i="1"/>
  <c r="I229" i="1" s="1"/>
  <c r="J217" i="1"/>
  <c r="H374" i="1"/>
  <c r="J347" i="1"/>
  <c r="J354" i="1" s="1"/>
  <c r="K363" i="1"/>
  <c r="J311" i="1"/>
  <c r="H329" i="1"/>
  <c r="H338" i="1" s="1"/>
  <c r="I316" i="1"/>
  <c r="I366" i="1" s="1"/>
  <c r="I375" i="1" s="1"/>
  <c r="J234" i="1"/>
  <c r="H328" i="1"/>
  <c r="H337" i="1" s="1"/>
  <c r="I239" i="1"/>
  <c r="I364" i="1" s="1"/>
  <c r="H327" i="1" l="1"/>
  <c r="H333" i="1" s="1"/>
  <c r="H346" i="1"/>
  <c r="H353" i="1" s="1"/>
  <c r="I362" i="1"/>
  <c r="K311" i="1"/>
  <c r="I329" i="1"/>
  <c r="I338" i="1" s="1"/>
  <c r="J316" i="1"/>
  <c r="J366" i="1" s="1"/>
  <c r="J375" i="1" s="1"/>
  <c r="J223" i="1"/>
  <c r="J229" i="1" s="1"/>
  <c r="K217" i="1"/>
  <c r="K234" i="1"/>
  <c r="I328" i="1"/>
  <c r="I337" i="1" s="1"/>
  <c r="J239" i="1"/>
  <c r="J364" i="1" s="1"/>
  <c r="M363" i="1"/>
  <c r="L347" i="1"/>
  <c r="L354" i="1" s="1"/>
  <c r="I374" i="1"/>
  <c r="K347" i="1"/>
  <c r="K354" i="1" s="1"/>
  <c r="L363" i="1"/>
  <c r="K223" i="1" l="1"/>
  <c r="K229" i="1" s="1"/>
  <c r="L217" i="1"/>
  <c r="I346" i="1"/>
  <c r="I353" i="1" s="1"/>
  <c r="I327" i="1"/>
  <c r="I333" i="1" s="1"/>
  <c r="J362" i="1"/>
  <c r="J374" i="1"/>
  <c r="J328" i="1"/>
  <c r="J337" i="1" s="1"/>
  <c r="L234" i="1"/>
  <c r="K239" i="1"/>
  <c r="K364" i="1" s="1"/>
  <c r="L311" i="1"/>
  <c r="J329" i="1"/>
  <c r="J338" i="1" s="1"/>
  <c r="K316" i="1"/>
  <c r="K366" i="1" s="1"/>
  <c r="K375" i="1" s="1"/>
  <c r="K329" i="1" l="1"/>
  <c r="K338" i="1" s="1"/>
  <c r="M311" i="1"/>
  <c r="L316" i="1"/>
  <c r="L366" i="1" s="1"/>
  <c r="L375" i="1" s="1"/>
  <c r="K328" i="1"/>
  <c r="K337" i="1" s="1"/>
  <c r="M234" i="1"/>
  <c r="L239" i="1"/>
  <c r="L364" i="1" s="1"/>
  <c r="L223" i="1"/>
  <c r="L229" i="1" s="1"/>
  <c r="M217" i="1"/>
  <c r="M223" i="1" s="1"/>
  <c r="M229" i="1" s="1"/>
  <c r="J327" i="1"/>
  <c r="J333" i="1" s="1"/>
  <c r="K362" i="1"/>
  <c r="K374" i="1" s="1"/>
  <c r="J346" i="1"/>
  <c r="J353" i="1" s="1"/>
  <c r="M362" i="1" l="1"/>
  <c r="L346" i="1"/>
  <c r="L353" i="1" s="1"/>
  <c r="L327" i="1"/>
  <c r="L333" i="1" s="1"/>
  <c r="L328" i="1"/>
  <c r="L337" i="1" s="1"/>
  <c r="M239" i="1"/>
  <c r="M364" i="1" s="1"/>
  <c r="M374" i="1" s="1"/>
  <c r="L362" i="1"/>
  <c r="K327" i="1"/>
  <c r="K333" i="1" s="1"/>
  <c r="K346" i="1"/>
  <c r="K353" i="1" s="1"/>
  <c r="L329" i="1"/>
  <c r="L338" i="1" s="1"/>
  <c r="M316" i="1"/>
  <c r="M366" i="1" s="1"/>
  <c r="M375" i="1" s="1"/>
  <c r="L374" i="1"/>
</calcChain>
</file>

<file path=xl/sharedStrings.xml><?xml version="1.0" encoding="utf-8"?>
<sst xmlns="http://schemas.openxmlformats.org/spreadsheetml/2006/main" count="368" uniqueCount="245">
  <si>
    <t>EVALUACIÓN FINANCIERA</t>
  </si>
  <si>
    <t>EVALUACIÓN ECONÓMICA</t>
  </si>
  <si>
    <t>VAN</t>
  </si>
  <si>
    <t>TD</t>
  </si>
  <si>
    <t>(3)/(2)</t>
  </si>
  <si>
    <t>RAZON DE ALTA DISPONIBILIDAD</t>
  </si>
  <si>
    <t>INDICE DE LIQUIDEZ (1)/(2)</t>
  </si>
  <si>
    <t xml:space="preserve">     INVENTARIO</t>
  </si>
  <si>
    <t>3. ACTIVO CIRCULANTE MENOS</t>
  </si>
  <si>
    <t>2. PASIVO CIRCULANTE</t>
  </si>
  <si>
    <t>1. ACTIVO CIRCULANTE</t>
  </si>
  <si>
    <t>MMUS$ DEL AÑO 0</t>
  </si>
  <si>
    <t>INDICES DE LIQUIDEZ</t>
  </si>
  <si>
    <t>(dias)  (7)/(8)</t>
  </si>
  <si>
    <t>PLAZO DE PAGO A PROVEEDORES</t>
  </si>
  <si>
    <t>(6)/(5)</t>
  </si>
  <si>
    <t>VECES GANADOS LOS INTERESES</t>
  </si>
  <si>
    <t>EV. FINANCIERA (4)/(2)</t>
  </si>
  <si>
    <t>EV. ECONOMICA (3)/(1)</t>
  </si>
  <si>
    <t>INDICE DE ENDEUDAMIENTO (%)</t>
  </si>
  <si>
    <t>8. COMPRA DIARIA PROMEDIO</t>
  </si>
  <si>
    <t>7. CUENTAS POR PAGAR</t>
  </si>
  <si>
    <t>6. GASTOS FINANCIEROS</t>
  </si>
  <si>
    <t xml:space="preserve">     E IMPUESTOS</t>
  </si>
  <si>
    <t xml:space="preserve">5. UTILIDAD ANTES DE INTERESES </t>
  </si>
  <si>
    <t xml:space="preserve">     EVALUACION FINANCIERA</t>
  </si>
  <si>
    <t>4. PASIVO (SIN PATRIMONIO)</t>
  </si>
  <si>
    <t xml:space="preserve">     EVALUACION ECONÓMICA</t>
  </si>
  <si>
    <t>3. PASIVO (SIN PATRIMONIO)</t>
  </si>
  <si>
    <t>2. ACTIVO TOTAL (EV. FINANCIE)</t>
  </si>
  <si>
    <t>1. ACTIVO TOTAL (EV. ECONOM)</t>
  </si>
  <si>
    <t>INDICE DE APALANCAMIENTO</t>
  </si>
  <si>
    <t>(8)/(2)</t>
  </si>
  <si>
    <t>PLAZO PROM. DE COBRO (dias)</t>
  </si>
  <si>
    <t>ROTACION INVENTARIOS (7)/(6)</t>
  </si>
  <si>
    <t>EV. FINANCIERA (1)/(5)</t>
  </si>
  <si>
    <t>EV. ECONOMICA (1)/(4)</t>
  </si>
  <si>
    <t>ROTACION DE ACTIVO TOTAL</t>
  </si>
  <si>
    <t>ROTACION CAPITAL FIJO (1)/(3)</t>
  </si>
  <si>
    <t>8. CUENTAS POR COBRAR</t>
  </si>
  <si>
    <t>7. COSTO DE LO VENDIDO</t>
  </si>
  <si>
    <t>6. INVENTARIOS</t>
  </si>
  <si>
    <t>5. ACTIVO TOTAL (EV. FINANCIE)</t>
  </si>
  <si>
    <t>4. ACTIVO TOTAL (EV. ECONÓM)</t>
  </si>
  <si>
    <t>3. CAPITAL FIJO NETO</t>
  </si>
  <si>
    <t>2. VENTA DIARIA</t>
  </si>
  <si>
    <t>1. VENTA</t>
  </si>
  <si>
    <t>INDICES DE OPERACIÓN O DE ACTIVIDAD</t>
  </si>
  <si>
    <t>EV. FINANCIERA (3)/(7)</t>
  </si>
  <si>
    <t>EV. ECONOMICA (2)/(6)</t>
  </si>
  <si>
    <t>CONTABLE (%)</t>
  </si>
  <si>
    <t>RENTABILIDAD SOBRE CAPITAL</t>
  </si>
  <si>
    <t>(%)  (4)/(5)</t>
  </si>
  <si>
    <t>RENTABILIDAD SOBRE ACTIVOS</t>
  </si>
  <si>
    <t>EV. FINANCIERA (3)/(1)</t>
  </si>
  <si>
    <t>EV. ECONOMICA (2)/(1)</t>
  </si>
  <si>
    <t>MARGEN SOBRE VENTAS (%)</t>
  </si>
  <si>
    <t>7. PATRIMONIO (EV. FINANCIE)</t>
  </si>
  <si>
    <t>6. PATRIMONIO (EV. ECONOM)</t>
  </si>
  <si>
    <t>5. ACTIVOS (EV. ECONOMICA)</t>
  </si>
  <si>
    <t>4. RENTA NETA ECONOMICA</t>
  </si>
  <si>
    <t>3. UTILIDAD NETA FINANCIERA</t>
  </si>
  <si>
    <t>2. UTILIDAD NETA ECONOMICA</t>
  </si>
  <si>
    <t>1. INGRESOS</t>
  </si>
  <si>
    <t>INDICES DE RENTABILIDAD</t>
  </si>
  <si>
    <t>RAZONES FINANCIERAS</t>
  </si>
  <si>
    <t>TOTAL PASIVO</t>
  </si>
  <si>
    <t>AJUSTE POR INFLACIÓN</t>
  </si>
  <si>
    <t>PERDIDA ACUM</t>
  </si>
  <si>
    <t>UTILIDAD RETENIDA ACUM</t>
  </si>
  <si>
    <t>RESERVA LEGAL ACUM</t>
  </si>
  <si>
    <t>CAPITAL SOCIAL</t>
  </si>
  <si>
    <t>PATRIMONIO</t>
  </si>
  <si>
    <t>DEUDA</t>
  </si>
  <si>
    <t>PASIVO A LARGO PLAZO</t>
  </si>
  <si>
    <t>DIVIDENDOS</t>
  </si>
  <si>
    <t>AMORTIZACION DE LA DEUDA</t>
  </si>
  <si>
    <t>CUENTAS POR PAGAR</t>
  </si>
  <si>
    <t>PASIVO CORTO PLAZO</t>
  </si>
  <si>
    <t>TOTAL ACTIVO</t>
  </si>
  <si>
    <t>ACTIVO E INTANGIBLES NETOS</t>
  </si>
  <si>
    <t>CUENTAS POR COBRAR</t>
  </si>
  <si>
    <t>INV DE PROD TERM</t>
  </si>
  <si>
    <t>INV DE PROD EN PROC</t>
  </si>
  <si>
    <t>INV DE MATERIA PRIMA</t>
  </si>
  <si>
    <t>CAJA BANCO</t>
  </si>
  <si>
    <t>ACTIVO</t>
  </si>
  <si>
    <t>BALANCE  GENERAL PROYECTADO - EVALUACION FINANCIERA (MMUS$ DE 0)</t>
  </si>
  <si>
    <t>CAJA ACUMULADO</t>
  </si>
  <si>
    <t>SALDO ANUAL</t>
  </si>
  <si>
    <t>APORTES</t>
  </si>
  <si>
    <t>FLUJO NETO DE FONDOS</t>
  </si>
  <si>
    <t>DEPRECIACIÓN</t>
  </si>
  <si>
    <t>UTILIDAD NETA</t>
  </si>
  <si>
    <t>TOTAL INVERSIÓN</t>
  </si>
  <si>
    <t>Δ CAPITAL DE TRABAJO</t>
  </si>
  <si>
    <t>AMORTIZACIÓN DE LA DEUDA</t>
  </si>
  <si>
    <t>CAPITAL FIJO PROPIO</t>
  </si>
  <si>
    <t>INVERSIÓN</t>
  </si>
  <si>
    <t>FLUJO DE CAJA PROYECTADO - EVALUACION FINANCIERA (MMUS$ DE 0)</t>
  </si>
  <si>
    <t>PÉRDIDA</t>
  </si>
  <si>
    <t>UTILIDAD RETENIDA</t>
  </si>
  <si>
    <t>RESERVA LEGAL</t>
  </si>
  <si>
    <t>IMPUESTO A LA RENTA</t>
  </si>
  <si>
    <t>RENTA NETA</t>
  </si>
  <si>
    <t>GASTOS FINANCIEROS</t>
  </si>
  <si>
    <t>UTILIDAD DE OPERACIÓN</t>
  </si>
  <si>
    <t>GASTOS DE VENT</t>
  </si>
  <si>
    <t>GASTOS ADMINI</t>
  </si>
  <si>
    <t>UTILIDAD BRUTA</t>
  </si>
  <si>
    <t>GASTOS DE PROD</t>
  </si>
  <si>
    <t>COSTOS FIJOS</t>
  </si>
  <si>
    <t>COSTOS VARIABLES</t>
  </si>
  <si>
    <t>MATERIA PRIMA</t>
  </si>
  <si>
    <t>EGRESOS</t>
  </si>
  <si>
    <t>INGRESOS</t>
  </si>
  <si>
    <t>ESTADO DE GANANCIAS Y PÉRDIDAS PROYECTADO - EVALUACIÓN FINANCIERA (MMUS$ DE 0)</t>
  </si>
  <si>
    <t>EFECTO DE LA INFLACIÓN ACUMULADA</t>
  </si>
  <si>
    <t>EFECTO DE LA INFLACIÓN</t>
  </si>
  <si>
    <t>INTERESES</t>
  </si>
  <si>
    <t>AMORTIZACIONES</t>
  </si>
  <si>
    <t>MONEDA CONSTANTE (US$ DE 0)</t>
  </si>
  <si>
    <t>MONEDA CORRIENTE</t>
  </si>
  <si>
    <t>SERVICIO DE LA DEUDA (MMUS$)</t>
  </si>
  <si>
    <t>BALANCE GENERAL PROYECTADO - EVALUACIÓN ECONÓMICA</t>
  </si>
  <si>
    <t>CAPITAL FIJO</t>
  </si>
  <si>
    <t>FLUJO DE CAJA PROYECTADO - EVALUACIÓN ECONÓMICA (MMUS$ DE 0)</t>
  </si>
  <si>
    <t>ESTADO DE GANANCIAS Y PÉRDIDAS PROYECTADO - EVALUACIÓN ECONÓMICA (MMUS$ DE 0)</t>
  </si>
  <si>
    <t>MMUS$/AÑO</t>
  </si>
  <si>
    <t>CAPITAL DE TRABAJO</t>
  </si>
  <si>
    <t>MUS$/DC</t>
  </si>
  <si>
    <t>CUENTAS POR PAGAR (20 DIAS)</t>
  </si>
  <si>
    <t>PASIVO CIRCULANTE</t>
  </si>
  <si>
    <t>ACT CIRC MMUS$</t>
  </si>
  <si>
    <t>CUENTAS POR COBRAR (15 DIAS)</t>
  </si>
  <si>
    <t>MUS$/TM</t>
  </si>
  <si>
    <t>MTM/AÑO</t>
  </si>
  <si>
    <t>TM/DO</t>
  </si>
  <si>
    <t>TM/DC</t>
  </si>
  <si>
    <t>INV DE PROD TERMINADOS (25 DIAS)</t>
  </si>
  <si>
    <t>INV DE PROD EN PROCESOS (10 DIAS)</t>
  </si>
  <si>
    <t>INV MATERIA PRIMA (30 DIAS)</t>
  </si>
  <si>
    <t>ACTIVO CIRCULANTE</t>
  </si>
  <si>
    <t>CAPITAL DE TRABAJO (US$ DE 0)</t>
  </si>
  <si>
    <t>COSTO DE PRODUCCIÓN</t>
  </si>
  <si>
    <t>TOTAL FIJOS</t>
  </si>
  <si>
    <t>SEGURO</t>
  </si>
  <si>
    <t>MANTENIMIENTO</t>
  </si>
  <si>
    <t>MANO DE OBRA</t>
  </si>
  <si>
    <t>COSTOS FIJOS (MMUS$/AÑO)</t>
  </si>
  <si>
    <t>US$/TM</t>
  </si>
  <si>
    <t>MATERIA PRIMA (ACETONA)</t>
  </si>
  <si>
    <t>COSTOS DE PRODUCCIÓN DEL MIBK (US$ DE 0)</t>
  </si>
  <si>
    <t>MATERIA PRIMA (IPA)</t>
  </si>
  <si>
    <t>COSTOS DE PRODUCCIÓN DE LA ACETONA (US$ DE 0)</t>
  </si>
  <si>
    <t>PRECIO (MUS$/TM)</t>
  </si>
  <si>
    <t>VENTAS (TM/DC)</t>
  </si>
  <si>
    <t>INGRESOS POR VENTAS (US$ DE 0)</t>
  </si>
  <si>
    <t>ACETONA</t>
  </si>
  <si>
    <t>IPA</t>
  </si>
  <si>
    <t>REQUERIMIENTO</t>
  </si>
  <si>
    <t>MIBK</t>
  </si>
  <si>
    <t>PRODUCCIÓN</t>
  </si>
  <si>
    <t>PROGRAMA DE PRODUCCIÓN (TM/DC)</t>
  </si>
  <si>
    <t>Tasa de inflación</t>
  </si>
  <si>
    <t>Tasa de interés</t>
  </si>
  <si>
    <t>Préstamo</t>
  </si>
  <si>
    <t>Utilidad retenida</t>
  </si>
  <si>
    <t>Reserva legal</t>
  </si>
  <si>
    <t>Impuesto a la renta</t>
  </si>
  <si>
    <t>Factor de servicio</t>
  </si>
  <si>
    <t>Capacidad nominal</t>
  </si>
  <si>
    <t>Precio MIBK Año 10</t>
  </si>
  <si>
    <t>Precio MIBK Año 9</t>
  </si>
  <si>
    <t>Precio MIBK Año 8</t>
  </si>
  <si>
    <t>Precio MIBK Año 7</t>
  </si>
  <si>
    <t>Precio MIBK Año 6</t>
  </si>
  <si>
    <t>Precio MIBK Año 5</t>
  </si>
  <si>
    <t>Precio MIBK Año 4</t>
  </si>
  <si>
    <t>Precio MIBK Año 3</t>
  </si>
  <si>
    <t>Precio MIBK Año 2</t>
  </si>
  <si>
    <t>Precio MIBK Año 1</t>
  </si>
  <si>
    <t>Precio IPA Año 10</t>
  </si>
  <si>
    <t>Precio IPA Año 9</t>
  </si>
  <si>
    <t>Precio IPA Año 8</t>
  </si>
  <si>
    <t>Precio IPA Año 7</t>
  </si>
  <si>
    <t>Precio IPA Año 6</t>
  </si>
  <si>
    <t>Precio IPA Año 5</t>
  </si>
  <si>
    <t>Precio IPA Año 4</t>
  </si>
  <si>
    <t>Precio IPA Año 3</t>
  </si>
  <si>
    <t>Precio IPA Año 2</t>
  </si>
  <si>
    <t>Precio IPA Año 1</t>
  </si>
  <si>
    <t>Gastos de ventas</t>
  </si>
  <si>
    <t>Gastos administrativos</t>
  </si>
  <si>
    <t>Costo de seguro</t>
  </si>
  <si>
    <t>Costo de mantenimiento</t>
  </si>
  <si>
    <t>Costo Fijo Planta MIBK</t>
  </si>
  <si>
    <t>Costo Fijo Planta Acetona</t>
  </si>
  <si>
    <t>Costo Mano de Obra Planta MIBK</t>
  </si>
  <si>
    <t>Costo Mano de Obra Planta Acetona</t>
  </si>
  <si>
    <t>Costo Var. Planta MIBK</t>
  </si>
  <si>
    <t>Costo Var. Planta Acetona</t>
  </si>
  <si>
    <t>Inv. Planta MIBK</t>
  </si>
  <si>
    <t>Inv. Planta Acetona</t>
  </si>
  <si>
    <t>βesp = 1</t>
  </si>
  <si>
    <t>βmax</t>
  </si>
  <si>
    <t>βmin</t>
  </si>
  <si>
    <t>Valor esperado</t>
  </si>
  <si>
    <t>Valor máximo</t>
  </si>
  <si>
    <t>Valor mínimo</t>
  </si>
  <si>
    <t>Variables</t>
  </si>
  <si>
    <t>ANUAL</t>
  </si>
  <si>
    <t>TASA DE INFLACIÓN</t>
  </si>
  <si>
    <t>AMORTIZACIÓN CONSTANTE</t>
  </si>
  <si>
    <t>FORMA DE PAGO</t>
  </si>
  <si>
    <t>AÑOS</t>
  </si>
  <si>
    <t>PLAZO AMORTIZAR</t>
  </si>
  <si>
    <t>TASA INTERÉS</t>
  </si>
  <si>
    <t>PRÉSTAMO</t>
  </si>
  <si>
    <t>DE UTILIDAD NETA</t>
  </si>
  <si>
    <t>1 AÑO DE CONSTRUCCIÓN</t>
  </si>
  <si>
    <t>DEPRECIACIÓN LINEAL SIN VALOR DE RESCATE</t>
  </si>
  <si>
    <t>10 AÑOS DE OPERACIÓN</t>
  </si>
  <si>
    <t>PRECIOS</t>
  </si>
  <si>
    <t>PLANTA DE MIBK</t>
  </si>
  <si>
    <t>DE LAS VENTAS</t>
  </si>
  <si>
    <t>G DE VENTAS</t>
  </si>
  <si>
    <t>DE LA INVERSIÓN</t>
  </si>
  <si>
    <t>PLANTA DE ACETONA</t>
  </si>
  <si>
    <t>G ADMINISTRATIVOS</t>
  </si>
  <si>
    <t>MMUS$</t>
  </si>
  <si>
    <t>MUS$/AÑO</t>
  </si>
  <si>
    <t>US$ DEL AÑO 0</t>
  </si>
  <si>
    <t>GASTOS</t>
  </si>
  <si>
    <t>COSTOS ANUALES</t>
  </si>
  <si>
    <t>FIJO AÑO 0</t>
  </si>
  <si>
    <t>VARIABLE</t>
  </si>
  <si>
    <t>COSTO</t>
  </si>
  <si>
    <t>TM ACETONA/TM MIBK</t>
  </si>
  <si>
    <t>TM IPA/TM ACETONA</t>
  </si>
  <si>
    <t>REQUERIMIENTOS</t>
  </si>
  <si>
    <t>FACTOR DE SERVICIO</t>
  </si>
  <si>
    <t>TM/AÑO</t>
  </si>
  <si>
    <t>CAPACIDAD NOMINAL</t>
  </si>
  <si>
    <t>EN CAPITAL FIJO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</si>
</sst>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9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9" tint="-0.499984740745262"/>
      <name val="Aptos Narrow"/>
      <family val="2"/>
      <scheme val="minor"/>
    </font>
    <font>
      <b/>
      <sz val="11"/>
      <color theme="1"/>
      <name val="Calibri"/>
      <family val="2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4">
    <xf numFmtId="0" fontId="0" fillId="0" borderId="0" xfId="0"/>
    <xf numFmtId="9" fontId="0" fillId="0" borderId="0" xfId="1" applyFont="1"/>
    <xf numFmtId="2" fontId="0" fillId="0" borderId="1" xfId="0" applyNumberFormat="1" applyBorder="1"/>
    <xf numFmtId="0" fontId="0" fillId="0" borderId="2" xfId="0" applyBorder="1"/>
    <xf numFmtId="2" fontId="0" fillId="0" borderId="2" xfId="0" applyNumberFormat="1" applyBorder="1"/>
    <xf numFmtId="0" fontId="0" fillId="0" borderId="3" xfId="0" applyBorder="1"/>
    <xf numFmtId="9" fontId="0" fillId="0" borderId="2" xfId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0" borderId="7" xfId="0" applyNumberFormat="1" applyBorder="1"/>
    <xf numFmtId="0" fontId="0" fillId="0" borderId="7" xfId="0" applyBorder="1"/>
    <xf numFmtId="164" fontId="0" fillId="0" borderId="7" xfId="0" applyNumberFormat="1" applyBorder="1"/>
    <xf numFmtId="164" fontId="0" fillId="0" borderId="3" xfId="0" applyNumberFormat="1" applyBorder="1"/>
    <xf numFmtId="0" fontId="5" fillId="0" borderId="0" xfId="0" applyFont="1"/>
    <xf numFmtId="2" fontId="0" fillId="0" borderId="3" xfId="0" applyNumberFormat="1" applyBorder="1"/>
    <xf numFmtId="2" fontId="0" fillId="0" borderId="6" xfId="1" applyNumberFormat="1" applyFont="1" applyBorder="1"/>
    <xf numFmtId="2" fontId="0" fillId="0" borderId="7" xfId="1" applyNumberFormat="1" applyFont="1" applyBorder="1"/>
    <xf numFmtId="2" fontId="0" fillId="0" borderId="6" xfId="0" applyNumberFormat="1" applyBorder="1"/>
    <xf numFmtId="0" fontId="0" fillId="0" borderId="8" xfId="0" applyBorder="1"/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164" fontId="0" fillId="0" borderId="6" xfId="0" applyNumberFormat="1" applyBorder="1"/>
    <xf numFmtId="164" fontId="0" fillId="0" borderId="6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6" fillId="0" borderId="0" xfId="0" applyFont="1"/>
    <xf numFmtId="164" fontId="0" fillId="0" borderId="9" xfId="0" applyNumberFormat="1" applyBorder="1"/>
    <xf numFmtId="164" fontId="0" fillId="0" borderId="10" xfId="0" applyNumberFormat="1" applyBorder="1"/>
    <xf numFmtId="0" fontId="0" fillId="0" borderId="10" xfId="0" applyBorder="1" applyAlignment="1">
      <alignment horizontal="right"/>
    </xf>
    <xf numFmtId="164" fontId="0" fillId="0" borderId="0" xfId="0" applyNumberFormat="1"/>
    <xf numFmtId="164" fontId="0" fillId="0" borderId="11" xfId="0" applyNumberFormat="1" applyBorder="1"/>
    <xf numFmtId="0" fontId="0" fillId="0" borderId="11" xfId="0" applyBorder="1"/>
    <xf numFmtId="0" fontId="0" fillId="0" borderId="11" xfId="0" applyBorder="1" applyAlignment="1">
      <alignment horizontal="right"/>
    </xf>
    <xf numFmtId="0" fontId="0" fillId="0" borderId="11" xfId="0" applyBorder="1" applyAlignment="1">
      <alignment horizontal="left"/>
    </xf>
    <xf numFmtId="164" fontId="0" fillId="0" borderId="8" xfId="0" applyNumberFormat="1" applyBorder="1"/>
    <xf numFmtId="0" fontId="0" fillId="0" borderId="1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164" fontId="0" fillId="0" borderId="5" xfId="0" applyNumberFormat="1" applyBorder="1"/>
    <xf numFmtId="0" fontId="7" fillId="0" borderId="6" xfId="0" applyFont="1" applyBorder="1"/>
    <xf numFmtId="0" fontId="7" fillId="0" borderId="7" xfId="0" applyFont="1" applyBorder="1"/>
    <xf numFmtId="0" fontId="7" fillId="0" borderId="3" xfId="0" applyFon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13" xfId="0" applyNumberFormat="1" applyBorder="1"/>
    <xf numFmtId="0" fontId="7" fillId="0" borderId="2" xfId="0" applyFont="1" applyBorder="1"/>
    <xf numFmtId="164" fontId="0" fillId="0" borderId="14" xfId="0" applyNumberFormat="1" applyBorder="1"/>
    <xf numFmtId="164" fontId="0" fillId="0" borderId="12" xfId="0" applyNumberFormat="1" applyBorder="1"/>
    <xf numFmtId="0" fontId="0" fillId="0" borderId="14" xfId="0" applyBorder="1"/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10" xfId="0" applyBorder="1"/>
    <xf numFmtId="164" fontId="2" fillId="0" borderId="7" xfId="0" applyNumberFormat="1" applyFont="1" applyBorder="1"/>
    <xf numFmtId="0" fontId="0" fillId="0" borderId="13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164" fontId="0" fillId="0" borderId="4" xfId="0" applyNumberFormat="1" applyBorder="1"/>
    <xf numFmtId="0" fontId="0" fillId="0" borderId="9" xfId="0" applyBorder="1"/>
    <xf numFmtId="0" fontId="0" fillId="0" borderId="12" xfId="0" applyBorder="1" applyAlignment="1">
      <alignment horizontal="left"/>
    </xf>
    <xf numFmtId="0" fontId="7" fillId="0" borderId="6" xfId="0" applyFont="1" applyBorder="1" applyAlignment="1">
      <alignment horizontal="right"/>
    </xf>
    <xf numFmtId="0" fontId="7" fillId="0" borderId="7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64" fontId="0" fillId="0" borderId="15" xfId="0" applyNumberFormat="1" applyBorder="1"/>
    <xf numFmtId="164" fontId="8" fillId="0" borderId="7" xfId="0" applyNumberFormat="1" applyFont="1" applyBorder="1"/>
    <xf numFmtId="0" fontId="0" fillId="0" borderId="12" xfId="0" applyBorder="1" applyAlignment="1">
      <alignment horizontal="right"/>
    </xf>
    <xf numFmtId="0" fontId="9" fillId="0" borderId="11" xfId="0" applyFont="1" applyBorder="1"/>
    <xf numFmtId="0" fontId="3" fillId="0" borderId="12" xfId="0" applyFont="1" applyBorder="1"/>
    <xf numFmtId="1" fontId="0" fillId="0" borderId="8" xfId="0" applyNumberFormat="1" applyBorder="1"/>
    <xf numFmtId="1" fontId="0" fillId="0" borderId="7" xfId="0" applyNumberFormat="1" applyBorder="1"/>
    <xf numFmtId="1" fontId="0" fillId="0" borderId="0" xfId="0" applyNumberFormat="1"/>
    <xf numFmtId="0" fontId="0" fillId="0" borderId="10" xfId="0" applyBorder="1" applyAlignment="1">
      <alignment horizontal="left"/>
    </xf>
    <xf numFmtId="2" fontId="0" fillId="0" borderId="8" xfId="0" applyNumberFormat="1" applyBorder="1"/>
    <xf numFmtId="2" fontId="0" fillId="0" borderId="0" xfId="0" applyNumberFormat="1"/>
    <xf numFmtId="0" fontId="5" fillId="0" borderId="0" xfId="0" applyFont="1" applyAlignment="1">
      <alignment vertical="center"/>
    </xf>
    <xf numFmtId="2" fontId="0" fillId="0" borderId="6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164" fontId="0" fillId="0" borderId="7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4" xfId="0" applyBorder="1" applyAlignment="1">
      <alignment vertical="center"/>
    </xf>
    <xf numFmtId="164" fontId="0" fillId="0" borderId="6" xfId="0" applyNumberFormat="1" applyBorder="1" applyAlignment="1">
      <alignment vertical="center"/>
    </xf>
    <xf numFmtId="0" fontId="0" fillId="0" borderId="10" xfId="0" applyBorder="1" applyAlignment="1">
      <alignment horizontal="right"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164" fontId="0" fillId="0" borderId="6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10" fillId="0" borderId="10" xfId="0" applyFont="1" applyBorder="1"/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1" xfId="0" applyFont="1" applyBorder="1"/>
    <xf numFmtId="2" fontId="0" fillId="0" borderId="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12" xfId="0" applyFont="1" applyBorder="1"/>
    <xf numFmtId="0" fontId="5" fillId="0" borderId="0" xfId="0" applyFont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1" fontId="0" fillId="0" borderId="8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4" fillId="0" borderId="0" xfId="0" applyFont="1"/>
    <xf numFmtId="2" fontId="4" fillId="0" borderId="0" xfId="0" applyNumberFormat="1" applyFont="1"/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0" fillId="0" borderId="13" xfId="0" applyFont="1" applyBorder="1" applyAlignment="1">
      <alignment vertical="center"/>
    </xf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6" xfId="0" applyFont="1" applyBorder="1"/>
    <xf numFmtId="0" fontId="3" fillId="0" borderId="3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VAN - Evaluación</a:t>
            </a:r>
            <a:r>
              <a:rPr lang="en-US" baseline="0"/>
              <a:t> Económica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'Var + VAN'!$C$400</c:f>
              <c:strCache>
                <c:ptCount val="1"/>
                <c:pt idx="0">
                  <c:v>-118.3907666</c:v>
                </c:pt>
              </c:strCache>
            </c:strRef>
          </c:tx>
          <c:marker>
            <c:symbol val="none"/>
          </c:marker>
          <c:xVal>
            <c:numRef>
              <c:f>'Var + VAN'!$C$401:$C$500</c:f>
              <c:numCache>
                <c:formatCode>General</c:formatCode>
                <c:ptCount val="100"/>
                <c:pt idx="0">
                  <c:v>-66.902216985411997</c:v>
                </c:pt>
                <c:pt idx="1">
                  <c:v>-61.920034776700618</c:v>
                </c:pt>
                <c:pt idx="2">
                  <c:v>-43.613473802875703</c:v>
                </c:pt>
                <c:pt idx="3">
                  <c:v>-42.277120626714186</c:v>
                </c:pt>
                <c:pt idx="4">
                  <c:v>-37.833322179290562</c:v>
                </c:pt>
                <c:pt idx="5">
                  <c:v>-33.387796106844419</c:v>
                </c:pt>
                <c:pt idx="6">
                  <c:v>-31.787460742116977</c:v>
                </c:pt>
                <c:pt idx="7">
                  <c:v>-25.961760418787648</c:v>
                </c:pt>
                <c:pt idx="8">
                  <c:v>-25.258989780667477</c:v>
                </c:pt>
                <c:pt idx="9">
                  <c:v>-24.696356422146955</c:v>
                </c:pt>
                <c:pt idx="10">
                  <c:v>-8.6406671236415562</c:v>
                </c:pt>
                <c:pt idx="11">
                  <c:v>-7.7042732076801173</c:v>
                </c:pt>
                <c:pt idx="12">
                  <c:v>-0.27619291331761531</c:v>
                </c:pt>
                <c:pt idx="13">
                  <c:v>0.26003748658143877</c:v>
                </c:pt>
                <c:pt idx="14">
                  <c:v>3.1659051045364031</c:v>
                </c:pt>
                <c:pt idx="15">
                  <c:v>3.317635418005878</c:v>
                </c:pt>
                <c:pt idx="16">
                  <c:v>7.2114055688022063</c:v>
                </c:pt>
                <c:pt idx="17">
                  <c:v>13.231750123245526</c:v>
                </c:pt>
                <c:pt idx="18">
                  <c:v>18.587507830539899</c:v>
                </c:pt>
                <c:pt idx="19">
                  <c:v>20.806174255617066</c:v>
                </c:pt>
                <c:pt idx="20">
                  <c:v>27.203632601602592</c:v>
                </c:pt>
                <c:pt idx="21">
                  <c:v>28.397772905490783</c:v>
                </c:pt>
                <c:pt idx="22">
                  <c:v>29.121348555188778</c:v>
                </c:pt>
                <c:pt idx="23">
                  <c:v>29.275073628427137</c:v>
                </c:pt>
                <c:pt idx="24">
                  <c:v>29.689619258115137</c:v>
                </c:pt>
                <c:pt idx="25">
                  <c:v>30.219194179980256</c:v>
                </c:pt>
                <c:pt idx="26">
                  <c:v>32.527813078885984</c:v>
                </c:pt>
                <c:pt idx="27">
                  <c:v>35.332123321954427</c:v>
                </c:pt>
                <c:pt idx="28">
                  <c:v>40.135926817690766</c:v>
                </c:pt>
                <c:pt idx="29">
                  <c:v>42.627886834355429</c:v>
                </c:pt>
                <c:pt idx="30">
                  <c:v>45.862368886717242</c:v>
                </c:pt>
                <c:pt idx="31">
                  <c:v>58.465769850840957</c:v>
                </c:pt>
                <c:pt idx="32">
                  <c:v>68.521855513538554</c:v>
                </c:pt>
                <c:pt idx="33">
                  <c:v>70.233257416517588</c:v>
                </c:pt>
                <c:pt idx="34">
                  <c:v>72.49347630874469</c:v>
                </c:pt>
                <c:pt idx="35">
                  <c:v>73.414023433059498</c:v>
                </c:pt>
                <c:pt idx="36">
                  <c:v>75.897044306941993</c:v>
                </c:pt>
                <c:pt idx="37">
                  <c:v>77.084712583920677</c:v>
                </c:pt>
                <c:pt idx="38">
                  <c:v>79.432186336111172</c:v>
                </c:pt>
                <c:pt idx="39">
                  <c:v>82.245703645165335</c:v>
                </c:pt>
                <c:pt idx="40">
                  <c:v>84.696462358583702</c:v>
                </c:pt>
                <c:pt idx="41">
                  <c:v>84.836989952321574</c:v>
                </c:pt>
                <c:pt idx="42">
                  <c:v>91.404213575639034</c:v>
                </c:pt>
                <c:pt idx="43">
                  <c:v>91.501088833805625</c:v>
                </c:pt>
                <c:pt idx="44">
                  <c:v>93.371039510419138</c:v>
                </c:pt>
                <c:pt idx="45">
                  <c:v>94.048394615422495</c:v>
                </c:pt>
                <c:pt idx="46">
                  <c:v>98.751972741244629</c:v>
                </c:pt>
                <c:pt idx="47">
                  <c:v>98.765940410005996</c:v>
                </c:pt>
                <c:pt idx="48">
                  <c:v>99.638224646155962</c:v>
                </c:pt>
                <c:pt idx="49">
                  <c:v>101.20646543876155</c:v>
                </c:pt>
                <c:pt idx="50">
                  <c:v>107.55871988231783</c:v>
                </c:pt>
                <c:pt idx="51">
                  <c:v>107.61234384587097</c:v>
                </c:pt>
                <c:pt idx="52">
                  <c:v>112.27408203090351</c:v>
                </c:pt>
                <c:pt idx="53">
                  <c:v>112.82272531622721</c:v>
                </c:pt>
                <c:pt idx="54">
                  <c:v>114.9840134865735</c:v>
                </c:pt>
                <c:pt idx="55">
                  <c:v>115.38665410734519</c:v>
                </c:pt>
                <c:pt idx="56">
                  <c:v>115.47574801329139</c:v>
                </c:pt>
                <c:pt idx="57">
                  <c:v>116.92757239665711</c:v>
                </c:pt>
                <c:pt idx="58">
                  <c:v>121.06968776373489</c:v>
                </c:pt>
                <c:pt idx="59">
                  <c:v>121.46282445346004</c:v>
                </c:pt>
                <c:pt idx="60">
                  <c:v>122.46573040820687</c:v>
                </c:pt>
                <c:pt idx="61">
                  <c:v>129.89459056917468</c:v>
                </c:pt>
                <c:pt idx="62">
                  <c:v>132.3122143368615</c:v>
                </c:pt>
                <c:pt idx="63">
                  <c:v>133.08000793322216</c:v>
                </c:pt>
                <c:pt idx="64">
                  <c:v>133.49135698619992</c:v>
                </c:pt>
                <c:pt idx="65">
                  <c:v>135.34555698585459</c:v>
                </c:pt>
                <c:pt idx="66">
                  <c:v>138.22534447582265</c:v>
                </c:pt>
                <c:pt idx="67">
                  <c:v>144.79394582530489</c:v>
                </c:pt>
                <c:pt idx="68">
                  <c:v>145.93387863031842</c:v>
                </c:pt>
                <c:pt idx="69">
                  <c:v>148.62378092467611</c:v>
                </c:pt>
                <c:pt idx="70">
                  <c:v>149.19292321896961</c:v>
                </c:pt>
                <c:pt idx="71">
                  <c:v>153.67845414120734</c:v>
                </c:pt>
                <c:pt idx="72">
                  <c:v>155.95102977402945</c:v>
                </c:pt>
                <c:pt idx="73">
                  <c:v>160.97948524350892</c:v>
                </c:pt>
                <c:pt idx="74">
                  <c:v>163.32497421689601</c:v>
                </c:pt>
                <c:pt idx="75">
                  <c:v>163.58746502389488</c:v>
                </c:pt>
                <c:pt idx="76">
                  <c:v>163.98139049752319</c:v>
                </c:pt>
                <c:pt idx="77">
                  <c:v>165.98289531649155</c:v>
                </c:pt>
                <c:pt idx="78">
                  <c:v>167.81563238966501</c:v>
                </c:pt>
                <c:pt idx="79">
                  <c:v>169.19153374471159</c:v>
                </c:pt>
                <c:pt idx="80">
                  <c:v>179.54003630515189</c:v>
                </c:pt>
                <c:pt idx="81">
                  <c:v>181.77606858740916</c:v>
                </c:pt>
                <c:pt idx="82">
                  <c:v>184.91568920817843</c:v>
                </c:pt>
                <c:pt idx="83">
                  <c:v>187.22939419348643</c:v>
                </c:pt>
                <c:pt idx="84">
                  <c:v>193.7559134205386</c:v>
                </c:pt>
                <c:pt idx="85">
                  <c:v>195.3882553801769</c:v>
                </c:pt>
                <c:pt idx="86">
                  <c:v>204.5581668253607</c:v>
                </c:pt>
                <c:pt idx="87">
                  <c:v>208.57190829204433</c:v>
                </c:pt>
                <c:pt idx="88">
                  <c:v>210.8711652388838</c:v>
                </c:pt>
                <c:pt idx="89">
                  <c:v>212.44906382535453</c:v>
                </c:pt>
                <c:pt idx="90">
                  <c:v>217.40456399556822</c:v>
                </c:pt>
                <c:pt idx="91">
                  <c:v>238.69140077848635</c:v>
                </c:pt>
                <c:pt idx="92">
                  <c:v>252.7625587275117</c:v>
                </c:pt>
                <c:pt idx="93">
                  <c:v>272.05702911843127</c:v>
                </c:pt>
                <c:pt idx="94">
                  <c:v>273.16862043928438</c:v>
                </c:pt>
                <c:pt idx="95">
                  <c:v>279.20498259039084</c:v>
                </c:pt>
                <c:pt idx="96">
                  <c:v>280.60575662127508</c:v>
                </c:pt>
                <c:pt idx="97">
                  <c:v>339.39085650773916</c:v>
                </c:pt>
                <c:pt idx="98">
                  <c:v>412.30295200771417</c:v>
                </c:pt>
                <c:pt idx="99">
                  <c:v>392.35037120419554</c:v>
                </c:pt>
              </c:numCache>
            </c:numRef>
          </c:xVal>
          <c:yVal>
            <c:numRef>
              <c:f>'Var + VAN'!$B$401:$B$500</c:f>
              <c:numCache>
                <c:formatCode>0%</c:formatCode>
                <c:ptCount val="100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  <c:pt idx="16">
                  <c:v>0.18</c:v>
                </c:pt>
                <c:pt idx="17">
                  <c:v>0.19</c:v>
                </c:pt>
                <c:pt idx="18">
                  <c:v>0.2</c:v>
                </c:pt>
                <c:pt idx="19">
                  <c:v>0.21</c:v>
                </c:pt>
                <c:pt idx="20">
                  <c:v>0.22</c:v>
                </c:pt>
                <c:pt idx="21">
                  <c:v>0.23</c:v>
                </c:pt>
                <c:pt idx="22">
                  <c:v>0.24</c:v>
                </c:pt>
                <c:pt idx="23">
                  <c:v>0.25</c:v>
                </c:pt>
                <c:pt idx="24">
                  <c:v>0.26</c:v>
                </c:pt>
                <c:pt idx="25">
                  <c:v>0.27</c:v>
                </c:pt>
                <c:pt idx="26">
                  <c:v>0.28000000000000003</c:v>
                </c:pt>
                <c:pt idx="27">
                  <c:v>0.28999999999999998</c:v>
                </c:pt>
                <c:pt idx="28">
                  <c:v>0.3</c:v>
                </c:pt>
                <c:pt idx="29">
                  <c:v>0.31</c:v>
                </c:pt>
                <c:pt idx="30">
                  <c:v>0.32</c:v>
                </c:pt>
                <c:pt idx="31">
                  <c:v>0.33</c:v>
                </c:pt>
                <c:pt idx="32">
                  <c:v>0.34</c:v>
                </c:pt>
                <c:pt idx="33">
                  <c:v>0.35</c:v>
                </c:pt>
                <c:pt idx="34">
                  <c:v>0.36</c:v>
                </c:pt>
                <c:pt idx="35">
                  <c:v>0.37</c:v>
                </c:pt>
                <c:pt idx="36">
                  <c:v>0.38</c:v>
                </c:pt>
                <c:pt idx="37">
                  <c:v>0.39</c:v>
                </c:pt>
                <c:pt idx="38">
                  <c:v>0.4</c:v>
                </c:pt>
                <c:pt idx="39">
                  <c:v>0.41</c:v>
                </c:pt>
                <c:pt idx="40">
                  <c:v>0.42</c:v>
                </c:pt>
                <c:pt idx="41">
                  <c:v>0.43</c:v>
                </c:pt>
                <c:pt idx="42">
                  <c:v>0.44</c:v>
                </c:pt>
                <c:pt idx="43">
                  <c:v>0.45</c:v>
                </c:pt>
                <c:pt idx="44">
                  <c:v>0.46</c:v>
                </c:pt>
                <c:pt idx="45">
                  <c:v>0.47</c:v>
                </c:pt>
                <c:pt idx="46">
                  <c:v>0.48</c:v>
                </c:pt>
                <c:pt idx="47">
                  <c:v>0.49</c:v>
                </c:pt>
                <c:pt idx="48">
                  <c:v>0.5</c:v>
                </c:pt>
                <c:pt idx="49">
                  <c:v>0.51</c:v>
                </c:pt>
                <c:pt idx="50">
                  <c:v>0.52</c:v>
                </c:pt>
                <c:pt idx="51">
                  <c:v>0.53</c:v>
                </c:pt>
                <c:pt idx="52">
                  <c:v>0.54</c:v>
                </c:pt>
                <c:pt idx="53">
                  <c:v>0.55000000000000004</c:v>
                </c:pt>
                <c:pt idx="54">
                  <c:v>0.56000000000000005</c:v>
                </c:pt>
                <c:pt idx="55">
                  <c:v>0.56999999999999995</c:v>
                </c:pt>
                <c:pt idx="56">
                  <c:v>0.57999999999999996</c:v>
                </c:pt>
                <c:pt idx="57">
                  <c:v>0.59</c:v>
                </c:pt>
                <c:pt idx="58">
                  <c:v>0.6</c:v>
                </c:pt>
                <c:pt idx="59">
                  <c:v>0.61</c:v>
                </c:pt>
                <c:pt idx="60">
                  <c:v>0.62</c:v>
                </c:pt>
                <c:pt idx="61">
                  <c:v>0.63</c:v>
                </c:pt>
                <c:pt idx="62">
                  <c:v>0.64</c:v>
                </c:pt>
                <c:pt idx="63">
                  <c:v>0.65</c:v>
                </c:pt>
                <c:pt idx="64">
                  <c:v>0.66</c:v>
                </c:pt>
                <c:pt idx="65">
                  <c:v>0.67</c:v>
                </c:pt>
                <c:pt idx="66">
                  <c:v>0.68</c:v>
                </c:pt>
                <c:pt idx="67">
                  <c:v>0.69</c:v>
                </c:pt>
                <c:pt idx="68">
                  <c:v>0.7</c:v>
                </c:pt>
                <c:pt idx="69">
                  <c:v>0.71</c:v>
                </c:pt>
                <c:pt idx="70">
                  <c:v>0.72</c:v>
                </c:pt>
                <c:pt idx="71">
                  <c:v>0.73</c:v>
                </c:pt>
                <c:pt idx="72">
                  <c:v>0.74</c:v>
                </c:pt>
                <c:pt idx="73">
                  <c:v>0.75</c:v>
                </c:pt>
                <c:pt idx="74">
                  <c:v>0.76</c:v>
                </c:pt>
                <c:pt idx="75">
                  <c:v>0.77</c:v>
                </c:pt>
                <c:pt idx="76">
                  <c:v>0.78</c:v>
                </c:pt>
                <c:pt idx="77">
                  <c:v>0.79</c:v>
                </c:pt>
                <c:pt idx="78">
                  <c:v>0.8</c:v>
                </c:pt>
                <c:pt idx="79">
                  <c:v>0.81</c:v>
                </c:pt>
                <c:pt idx="80">
                  <c:v>0.82</c:v>
                </c:pt>
                <c:pt idx="81">
                  <c:v>0.83</c:v>
                </c:pt>
                <c:pt idx="82">
                  <c:v>0.84</c:v>
                </c:pt>
                <c:pt idx="83">
                  <c:v>0.85</c:v>
                </c:pt>
                <c:pt idx="84">
                  <c:v>0.86</c:v>
                </c:pt>
                <c:pt idx="85">
                  <c:v>0.87</c:v>
                </c:pt>
                <c:pt idx="86">
                  <c:v>0.88</c:v>
                </c:pt>
                <c:pt idx="87">
                  <c:v>0.89</c:v>
                </c:pt>
                <c:pt idx="88">
                  <c:v>0.9</c:v>
                </c:pt>
                <c:pt idx="89">
                  <c:v>0.91</c:v>
                </c:pt>
                <c:pt idx="90">
                  <c:v>0.92</c:v>
                </c:pt>
                <c:pt idx="91">
                  <c:v>0.93</c:v>
                </c:pt>
                <c:pt idx="92">
                  <c:v>0.94</c:v>
                </c:pt>
                <c:pt idx="93">
                  <c:v>0.95</c:v>
                </c:pt>
                <c:pt idx="94">
                  <c:v>0.96</c:v>
                </c:pt>
                <c:pt idx="95">
                  <c:v>0.97</c:v>
                </c:pt>
                <c:pt idx="96">
                  <c:v>0.98</c:v>
                </c:pt>
                <c:pt idx="97">
                  <c:v>0.99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92-4877-98DF-94D3A65F9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94944"/>
        <c:axId val="1125968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'Var + VAN'!$D$400</c15:sqref>
                        </c15:formulaRef>
                      </c:ext>
                    </c:extLst>
                    <c:strCache>
                      <c:ptCount val="1"/>
                      <c:pt idx="0">
                        <c:v>-110.4714001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'Var + VAN'!$D$401:$D$500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-57.809187097228232</c:v>
                      </c:pt>
                      <c:pt idx="1">
                        <c:v>-53.290839668669548</c:v>
                      </c:pt>
                      <c:pt idx="2">
                        <c:v>-35.83313109239684</c:v>
                      </c:pt>
                      <c:pt idx="3">
                        <c:v>-32.807329539991805</c:v>
                      </c:pt>
                      <c:pt idx="4">
                        <c:v>-28.500459237428174</c:v>
                      </c:pt>
                      <c:pt idx="5">
                        <c:v>-25.051266389078037</c:v>
                      </c:pt>
                      <c:pt idx="6">
                        <c:v>-23.169192074966674</c:v>
                      </c:pt>
                      <c:pt idx="7">
                        <c:v>-17.776174834067987</c:v>
                      </c:pt>
                      <c:pt idx="8">
                        <c:v>-15.173143427913402</c:v>
                      </c:pt>
                      <c:pt idx="9">
                        <c:v>-14.572812785996462</c:v>
                      </c:pt>
                      <c:pt idx="10">
                        <c:v>-0.77372865718138684</c:v>
                      </c:pt>
                      <c:pt idx="11">
                        <c:v>0.92312455581853214</c:v>
                      </c:pt>
                      <c:pt idx="12">
                        <c:v>8.1638839613677163</c:v>
                      </c:pt>
                      <c:pt idx="13">
                        <c:v>9.2547257677590977</c:v>
                      </c:pt>
                      <c:pt idx="14">
                        <c:v>11.619495190407555</c:v>
                      </c:pt>
                      <c:pt idx="15">
                        <c:v>12.959697950426204</c:v>
                      </c:pt>
                      <c:pt idx="16">
                        <c:v>16.878045331528256</c:v>
                      </c:pt>
                      <c:pt idx="17">
                        <c:v>22.78838041637492</c:v>
                      </c:pt>
                      <c:pt idx="18">
                        <c:v>27.961089484569584</c:v>
                      </c:pt>
                      <c:pt idx="19">
                        <c:v>28.666288018362202</c:v>
                      </c:pt>
                      <c:pt idx="20">
                        <c:v>37.175003265819313</c:v>
                      </c:pt>
                      <c:pt idx="21">
                        <c:v>37.229717902539335</c:v>
                      </c:pt>
                      <c:pt idx="22">
                        <c:v>37.384954343527674</c:v>
                      </c:pt>
                      <c:pt idx="23">
                        <c:v>37.420064449370017</c:v>
                      </c:pt>
                      <c:pt idx="24">
                        <c:v>39.119614737505273</c:v>
                      </c:pt>
                      <c:pt idx="25">
                        <c:v>39.895803899604921</c:v>
                      </c:pt>
                      <c:pt idx="26">
                        <c:v>41.156001601611806</c:v>
                      </c:pt>
                      <c:pt idx="27">
                        <c:v>44.166259853257259</c:v>
                      </c:pt>
                      <c:pt idx="28">
                        <c:v>49.291340286214073</c:v>
                      </c:pt>
                      <c:pt idx="29">
                        <c:v>50.560737937188698</c:v>
                      </c:pt>
                      <c:pt idx="30">
                        <c:v>54.28156007350379</c:v>
                      </c:pt>
                      <c:pt idx="31">
                        <c:v>67.290799884947802</c:v>
                      </c:pt>
                      <c:pt idx="32">
                        <c:v>77.875117357462216</c:v>
                      </c:pt>
                      <c:pt idx="33">
                        <c:v>79.439806943424003</c:v>
                      </c:pt>
                      <c:pt idx="34">
                        <c:v>81.635639779386224</c:v>
                      </c:pt>
                      <c:pt idx="35">
                        <c:v>82.433062334055847</c:v>
                      </c:pt>
                      <c:pt idx="36">
                        <c:v>84.513327371558944</c:v>
                      </c:pt>
                      <c:pt idx="37">
                        <c:v>86.557742728445533</c:v>
                      </c:pt>
                      <c:pt idx="38">
                        <c:v>88.556324205927339</c:v>
                      </c:pt>
                      <c:pt idx="39">
                        <c:v>90.116677294607385</c:v>
                      </c:pt>
                      <c:pt idx="40">
                        <c:v>93.372364002601984</c:v>
                      </c:pt>
                      <c:pt idx="41">
                        <c:v>94.438568816002444</c:v>
                      </c:pt>
                      <c:pt idx="42">
                        <c:v>98.103300649772265</c:v>
                      </c:pt>
                      <c:pt idx="43">
                        <c:v>100.29132465307859</c:v>
                      </c:pt>
                      <c:pt idx="44">
                        <c:v>101.84628461905005</c:v>
                      </c:pt>
                      <c:pt idx="45">
                        <c:v>103.20352372085304</c:v>
                      </c:pt>
                      <c:pt idx="46">
                        <c:v>107.51451218770066</c:v>
                      </c:pt>
                      <c:pt idx="47">
                        <c:v>107.9971906255516</c:v>
                      </c:pt>
                      <c:pt idx="48">
                        <c:v>108.52598926850554</c:v>
                      </c:pt>
                      <c:pt idx="49">
                        <c:v>109.91354276869565</c:v>
                      </c:pt>
                      <c:pt idx="50">
                        <c:v>116.16822102830081</c:v>
                      </c:pt>
                      <c:pt idx="51">
                        <c:v>116.69355260785107</c:v>
                      </c:pt>
                      <c:pt idx="52">
                        <c:v>120.34567599445883</c:v>
                      </c:pt>
                      <c:pt idx="53">
                        <c:v>121.40268456630722</c:v>
                      </c:pt>
                      <c:pt idx="54">
                        <c:v>123.58884843181065</c:v>
                      </c:pt>
                      <c:pt idx="55">
                        <c:v>124.27700927019018</c:v>
                      </c:pt>
                      <c:pt idx="56">
                        <c:v>124.75869586303254</c:v>
                      </c:pt>
                      <c:pt idx="57">
                        <c:v>125.58743409386874</c:v>
                      </c:pt>
                      <c:pt idx="58">
                        <c:v>129.61657510151645</c:v>
                      </c:pt>
                      <c:pt idx="59">
                        <c:v>129.66094764616849</c:v>
                      </c:pt>
                      <c:pt idx="60">
                        <c:v>130.53595311807379</c:v>
                      </c:pt>
                      <c:pt idx="61">
                        <c:v>138.08738936716261</c:v>
                      </c:pt>
                      <c:pt idx="62">
                        <c:v>140.62445157904813</c:v>
                      </c:pt>
                      <c:pt idx="63">
                        <c:v>140.74907504954223</c:v>
                      </c:pt>
                      <c:pt idx="64">
                        <c:v>143.88822466132279</c:v>
                      </c:pt>
                      <c:pt idx="65">
                        <c:v>145.36614036011753</c:v>
                      </c:pt>
                      <c:pt idx="66">
                        <c:v>147.77746877265702</c:v>
                      </c:pt>
                      <c:pt idx="67">
                        <c:v>153.23336305618102</c:v>
                      </c:pt>
                      <c:pt idx="68">
                        <c:v>154.9251395639146</c:v>
                      </c:pt>
                      <c:pt idx="69">
                        <c:v>158.42602034705772</c:v>
                      </c:pt>
                      <c:pt idx="70">
                        <c:v>158.85187390570309</c:v>
                      </c:pt>
                      <c:pt idx="71">
                        <c:v>162.39030405588488</c:v>
                      </c:pt>
                      <c:pt idx="72">
                        <c:v>165.36261787016548</c:v>
                      </c:pt>
                      <c:pt idx="73">
                        <c:v>169.23625221690767</c:v>
                      </c:pt>
                      <c:pt idx="74">
                        <c:v>171.75019176255512</c:v>
                      </c:pt>
                      <c:pt idx="75">
                        <c:v>171.96534993902864</c:v>
                      </c:pt>
                      <c:pt idx="76">
                        <c:v>172.09316145052955</c:v>
                      </c:pt>
                      <c:pt idx="77">
                        <c:v>175.55464831848667</c:v>
                      </c:pt>
                      <c:pt idx="78">
                        <c:v>176.40186219194484</c:v>
                      </c:pt>
                      <c:pt idx="79">
                        <c:v>178.2118620477097</c:v>
                      </c:pt>
                      <c:pt idx="80">
                        <c:v>187.85888951808528</c:v>
                      </c:pt>
                      <c:pt idx="81">
                        <c:v>190.06865168580151</c:v>
                      </c:pt>
                      <c:pt idx="82">
                        <c:v>194.18730049962929</c:v>
                      </c:pt>
                      <c:pt idx="83">
                        <c:v>197.00793436340803</c:v>
                      </c:pt>
                      <c:pt idx="84">
                        <c:v>203.74227422404601</c:v>
                      </c:pt>
                      <c:pt idx="85">
                        <c:v>204.84299540223256</c:v>
                      </c:pt>
                      <c:pt idx="86">
                        <c:v>212.90968890142082</c:v>
                      </c:pt>
                      <c:pt idx="87">
                        <c:v>217.28529305398922</c:v>
                      </c:pt>
                      <c:pt idx="88">
                        <c:v>219.26799243463944</c:v>
                      </c:pt>
                      <c:pt idx="89">
                        <c:v>222.20022372260041</c:v>
                      </c:pt>
                      <c:pt idx="90">
                        <c:v>227.63855399994651</c:v>
                      </c:pt>
                      <c:pt idx="91">
                        <c:v>247.37904640785723</c:v>
                      </c:pt>
                      <c:pt idx="92">
                        <c:v>262.88539747411807</c:v>
                      </c:pt>
                      <c:pt idx="93">
                        <c:v>281.61815792773655</c:v>
                      </c:pt>
                      <c:pt idx="94">
                        <c:v>282.40063286048144</c:v>
                      </c:pt>
                      <c:pt idx="95">
                        <c:v>287.01656613684128</c:v>
                      </c:pt>
                      <c:pt idx="96">
                        <c:v>290.48639977390445</c:v>
                      </c:pt>
                      <c:pt idx="97">
                        <c:v>348.5759731500342</c:v>
                      </c:pt>
                      <c:pt idx="98">
                        <c:v>420.48368847872155</c:v>
                      </c:pt>
                      <c:pt idx="99">
                        <c:v>402.25441390440182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'Var + VAN'!$B$401:$B$500</c15:sqref>
                        </c15:formulaRef>
                      </c:ext>
                    </c:extLst>
                    <c:numCache>
                      <c:formatCode>0%</c:formatCode>
                      <c:ptCount val="100"/>
                      <c:pt idx="0">
                        <c:v>0.02</c:v>
                      </c:pt>
                      <c:pt idx="1">
                        <c:v>0.03</c:v>
                      </c:pt>
                      <c:pt idx="2">
                        <c:v>0.04</c:v>
                      </c:pt>
                      <c:pt idx="3">
                        <c:v>0.05</c:v>
                      </c:pt>
                      <c:pt idx="4">
                        <c:v>0.06</c:v>
                      </c:pt>
                      <c:pt idx="5">
                        <c:v>7.0000000000000007E-2</c:v>
                      </c:pt>
                      <c:pt idx="6">
                        <c:v>0.08</c:v>
                      </c:pt>
                      <c:pt idx="7">
                        <c:v>0.09</c:v>
                      </c:pt>
                      <c:pt idx="8">
                        <c:v>0.1</c:v>
                      </c:pt>
                      <c:pt idx="9">
                        <c:v>0.11</c:v>
                      </c:pt>
                      <c:pt idx="10">
                        <c:v>0.12</c:v>
                      </c:pt>
                      <c:pt idx="11">
                        <c:v>0.13</c:v>
                      </c:pt>
                      <c:pt idx="12">
                        <c:v>0.14000000000000001</c:v>
                      </c:pt>
                      <c:pt idx="13">
                        <c:v>0.15</c:v>
                      </c:pt>
                      <c:pt idx="14">
                        <c:v>0.16</c:v>
                      </c:pt>
                      <c:pt idx="15">
                        <c:v>0.17</c:v>
                      </c:pt>
                      <c:pt idx="16">
                        <c:v>0.18</c:v>
                      </c:pt>
                      <c:pt idx="17">
                        <c:v>0.19</c:v>
                      </c:pt>
                      <c:pt idx="18">
                        <c:v>0.2</c:v>
                      </c:pt>
                      <c:pt idx="19">
                        <c:v>0.21</c:v>
                      </c:pt>
                      <c:pt idx="20">
                        <c:v>0.22</c:v>
                      </c:pt>
                      <c:pt idx="21">
                        <c:v>0.23</c:v>
                      </c:pt>
                      <c:pt idx="22">
                        <c:v>0.24</c:v>
                      </c:pt>
                      <c:pt idx="23">
                        <c:v>0.25</c:v>
                      </c:pt>
                      <c:pt idx="24">
                        <c:v>0.26</c:v>
                      </c:pt>
                      <c:pt idx="25">
                        <c:v>0.27</c:v>
                      </c:pt>
                      <c:pt idx="26">
                        <c:v>0.28000000000000003</c:v>
                      </c:pt>
                      <c:pt idx="27">
                        <c:v>0.28999999999999998</c:v>
                      </c:pt>
                      <c:pt idx="28">
                        <c:v>0.3</c:v>
                      </c:pt>
                      <c:pt idx="29">
                        <c:v>0.31</c:v>
                      </c:pt>
                      <c:pt idx="30">
                        <c:v>0.32</c:v>
                      </c:pt>
                      <c:pt idx="31">
                        <c:v>0.33</c:v>
                      </c:pt>
                      <c:pt idx="32">
                        <c:v>0.34</c:v>
                      </c:pt>
                      <c:pt idx="33">
                        <c:v>0.35</c:v>
                      </c:pt>
                      <c:pt idx="34">
                        <c:v>0.36</c:v>
                      </c:pt>
                      <c:pt idx="35">
                        <c:v>0.37</c:v>
                      </c:pt>
                      <c:pt idx="36">
                        <c:v>0.38</c:v>
                      </c:pt>
                      <c:pt idx="37">
                        <c:v>0.39</c:v>
                      </c:pt>
                      <c:pt idx="38">
                        <c:v>0.4</c:v>
                      </c:pt>
                      <c:pt idx="39">
                        <c:v>0.41</c:v>
                      </c:pt>
                      <c:pt idx="40">
                        <c:v>0.42</c:v>
                      </c:pt>
                      <c:pt idx="41">
                        <c:v>0.43</c:v>
                      </c:pt>
                      <c:pt idx="42">
                        <c:v>0.44</c:v>
                      </c:pt>
                      <c:pt idx="43">
                        <c:v>0.45</c:v>
                      </c:pt>
                      <c:pt idx="44">
                        <c:v>0.46</c:v>
                      </c:pt>
                      <c:pt idx="45">
                        <c:v>0.47</c:v>
                      </c:pt>
                      <c:pt idx="46">
                        <c:v>0.48</c:v>
                      </c:pt>
                      <c:pt idx="47">
                        <c:v>0.49</c:v>
                      </c:pt>
                      <c:pt idx="48">
                        <c:v>0.5</c:v>
                      </c:pt>
                      <c:pt idx="49">
                        <c:v>0.51</c:v>
                      </c:pt>
                      <c:pt idx="50">
                        <c:v>0.52</c:v>
                      </c:pt>
                      <c:pt idx="51">
                        <c:v>0.53</c:v>
                      </c:pt>
                      <c:pt idx="52">
                        <c:v>0.54</c:v>
                      </c:pt>
                      <c:pt idx="53">
                        <c:v>0.55000000000000004</c:v>
                      </c:pt>
                      <c:pt idx="54">
                        <c:v>0.56000000000000005</c:v>
                      </c:pt>
                      <c:pt idx="55">
                        <c:v>0.56999999999999995</c:v>
                      </c:pt>
                      <c:pt idx="56">
                        <c:v>0.57999999999999996</c:v>
                      </c:pt>
                      <c:pt idx="57">
                        <c:v>0.59</c:v>
                      </c:pt>
                      <c:pt idx="58">
                        <c:v>0.6</c:v>
                      </c:pt>
                      <c:pt idx="59">
                        <c:v>0.61</c:v>
                      </c:pt>
                      <c:pt idx="60">
                        <c:v>0.62</c:v>
                      </c:pt>
                      <c:pt idx="61">
                        <c:v>0.63</c:v>
                      </c:pt>
                      <c:pt idx="62">
                        <c:v>0.64</c:v>
                      </c:pt>
                      <c:pt idx="63">
                        <c:v>0.65</c:v>
                      </c:pt>
                      <c:pt idx="64">
                        <c:v>0.66</c:v>
                      </c:pt>
                      <c:pt idx="65">
                        <c:v>0.67</c:v>
                      </c:pt>
                      <c:pt idx="66">
                        <c:v>0.68</c:v>
                      </c:pt>
                      <c:pt idx="67">
                        <c:v>0.69</c:v>
                      </c:pt>
                      <c:pt idx="68">
                        <c:v>0.7</c:v>
                      </c:pt>
                      <c:pt idx="69">
                        <c:v>0.71</c:v>
                      </c:pt>
                      <c:pt idx="70">
                        <c:v>0.72</c:v>
                      </c:pt>
                      <c:pt idx="71">
                        <c:v>0.73</c:v>
                      </c:pt>
                      <c:pt idx="72">
                        <c:v>0.74</c:v>
                      </c:pt>
                      <c:pt idx="73">
                        <c:v>0.75</c:v>
                      </c:pt>
                      <c:pt idx="74">
                        <c:v>0.76</c:v>
                      </c:pt>
                      <c:pt idx="75">
                        <c:v>0.77</c:v>
                      </c:pt>
                      <c:pt idx="76">
                        <c:v>0.78</c:v>
                      </c:pt>
                      <c:pt idx="77">
                        <c:v>0.79</c:v>
                      </c:pt>
                      <c:pt idx="78">
                        <c:v>0.8</c:v>
                      </c:pt>
                      <c:pt idx="79">
                        <c:v>0.81</c:v>
                      </c:pt>
                      <c:pt idx="80">
                        <c:v>0.82</c:v>
                      </c:pt>
                      <c:pt idx="81">
                        <c:v>0.83</c:v>
                      </c:pt>
                      <c:pt idx="82">
                        <c:v>0.84</c:v>
                      </c:pt>
                      <c:pt idx="83">
                        <c:v>0.85</c:v>
                      </c:pt>
                      <c:pt idx="84">
                        <c:v>0.86</c:v>
                      </c:pt>
                      <c:pt idx="85">
                        <c:v>0.87</c:v>
                      </c:pt>
                      <c:pt idx="86">
                        <c:v>0.88</c:v>
                      </c:pt>
                      <c:pt idx="87">
                        <c:v>0.89</c:v>
                      </c:pt>
                      <c:pt idx="88">
                        <c:v>0.9</c:v>
                      </c:pt>
                      <c:pt idx="89">
                        <c:v>0.91</c:v>
                      </c:pt>
                      <c:pt idx="90">
                        <c:v>0.92</c:v>
                      </c:pt>
                      <c:pt idx="91">
                        <c:v>0.93</c:v>
                      </c:pt>
                      <c:pt idx="92">
                        <c:v>0.94</c:v>
                      </c:pt>
                      <c:pt idx="93">
                        <c:v>0.95</c:v>
                      </c:pt>
                      <c:pt idx="94">
                        <c:v>0.96</c:v>
                      </c:pt>
                      <c:pt idx="95">
                        <c:v>0.97</c:v>
                      </c:pt>
                      <c:pt idx="96">
                        <c:v>0.98</c:v>
                      </c:pt>
                      <c:pt idx="97">
                        <c:v>0.99</c:v>
                      </c:pt>
                      <c:pt idx="98">
                        <c:v>1</c:v>
                      </c:pt>
                      <c:pt idx="99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A92-4877-98DF-94D3A65F9E8B}"/>
                  </c:ext>
                </c:extLst>
              </c15:ser>
            </c15:filteredScatterSeries>
          </c:ext>
        </c:extLst>
      </c:scatterChart>
      <c:valAx>
        <c:axId val="112594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6864"/>
        <c:crosses val="autoZero"/>
        <c:crossBetween val="midCat"/>
      </c:valAx>
      <c:valAx>
        <c:axId val="1125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Probabilidad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49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VAN - Evaluación</a:t>
            </a:r>
            <a:r>
              <a:rPr lang="en-US" baseline="0"/>
              <a:t> Financiera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'Var + VAN'!$D$400</c:f>
              <c:strCache>
                <c:ptCount val="1"/>
                <c:pt idx="0">
                  <c:v>-110.4714001</c:v>
                </c:pt>
              </c:strCache>
            </c:strRef>
          </c:tx>
          <c:marker>
            <c:symbol val="none"/>
          </c:marker>
          <c:xVal>
            <c:numRef>
              <c:f>'Var + VAN'!$D$401:$D$500</c:f>
              <c:numCache>
                <c:formatCode>General</c:formatCode>
                <c:ptCount val="100"/>
                <c:pt idx="0">
                  <c:v>-57.809187097228232</c:v>
                </c:pt>
                <c:pt idx="1">
                  <c:v>-53.290839668669548</c:v>
                </c:pt>
                <c:pt idx="2">
                  <c:v>-35.83313109239684</c:v>
                </c:pt>
                <c:pt idx="3">
                  <c:v>-32.807329539991805</c:v>
                </c:pt>
                <c:pt idx="4">
                  <c:v>-28.500459237428174</c:v>
                </c:pt>
                <c:pt idx="5">
                  <c:v>-25.051266389078037</c:v>
                </c:pt>
                <c:pt idx="6">
                  <c:v>-23.169192074966674</c:v>
                </c:pt>
                <c:pt idx="7">
                  <c:v>-17.776174834067987</c:v>
                </c:pt>
                <c:pt idx="8">
                  <c:v>-15.173143427913402</c:v>
                </c:pt>
                <c:pt idx="9">
                  <c:v>-14.572812785996462</c:v>
                </c:pt>
                <c:pt idx="10">
                  <c:v>-0.77372865718138684</c:v>
                </c:pt>
                <c:pt idx="11">
                  <c:v>0.92312455581853214</c:v>
                </c:pt>
                <c:pt idx="12">
                  <c:v>8.1638839613677163</c:v>
                </c:pt>
                <c:pt idx="13">
                  <c:v>9.2547257677590977</c:v>
                </c:pt>
                <c:pt idx="14">
                  <c:v>11.619495190407555</c:v>
                </c:pt>
                <c:pt idx="15">
                  <c:v>12.959697950426204</c:v>
                </c:pt>
                <c:pt idx="16">
                  <c:v>16.878045331528256</c:v>
                </c:pt>
                <c:pt idx="17">
                  <c:v>22.78838041637492</c:v>
                </c:pt>
                <c:pt idx="18">
                  <c:v>27.961089484569584</c:v>
                </c:pt>
                <c:pt idx="19">
                  <c:v>28.666288018362202</c:v>
                </c:pt>
                <c:pt idx="20">
                  <c:v>37.175003265819313</c:v>
                </c:pt>
                <c:pt idx="21">
                  <c:v>37.229717902539335</c:v>
                </c:pt>
                <c:pt idx="22">
                  <c:v>37.384954343527674</c:v>
                </c:pt>
                <c:pt idx="23">
                  <c:v>37.420064449370017</c:v>
                </c:pt>
                <c:pt idx="24">
                  <c:v>39.119614737505273</c:v>
                </c:pt>
                <c:pt idx="25">
                  <c:v>39.895803899604921</c:v>
                </c:pt>
                <c:pt idx="26">
                  <c:v>41.156001601611806</c:v>
                </c:pt>
                <c:pt idx="27">
                  <c:v>44.166259853257259</c:v>
                </c:pt>
                <c:pt idx="28">
                  <c:v>49.291340286214073</c:v>
                </c:pt>
                <c:pt idx="29">
                  <c:v>50.560737937188698</c:v>
                </c:pt>
                <c:pt idx="30">
                  <c:v>54.28156007350379</c:v>
                </c:pt>
                <c:pt idx="31">
                  <c:v>67.290799884947802</c:v>
                </c:pt>
                <c:pt idx="32">
                  <c:v>77.875117357462216</c:v>
                </c:pt>
                <c:pt idx="33">
                  <c:v>79.439806943424003</c:v>
                </c:pt>
                <c:pt idx="34">
                  <c:v>81.635639779386224</c:v>
                </c:pt>
                <c:pt idx="35">
                  <c:v>82.433062334055847</c:v>
                </c:pt>
                <c:pt idx="36">
                  <c:v>84.513327371558944</c:v>
                </c:pt>
                <c:pt idx="37">
                  <c:v>86.557742728445533</c:v>
                </c:pt>
                <c:pt idx="38">
                  <c:v>88.556324205927339</c:v>
                </c:pt>
                <c:pt idx="39">
                  <c:v>90.116677294607385</c:v>
                </c:pt>
                <c:pt idx="40">
                  <c:v>93.372364002601984</c:v>
                </c:pt>
                <c:pt idx="41">
                  <c:v>94.438568816002444</c:v>
                </c:pt>
                <c:pt idx="42">
                  <c:v>98.103300649772265</c:v>
                </c:pt>
                <c:pt idx="43">
                  <c:v>100.29132465307859</c:v>
                </c:pt>
                <c:pt idx="44">
                  <c:v>101.84628461905005</c:v>
                </c:pt>
                <c:pt idx="45">
                  <c:v>103.20352372085304</c:v>
                </c:pt>
                <c:pt idx="46">
                  <c:v>107.51451218770066</c:v>
                </c:pt>
                <c:pt idx="47">
                  <c:v>107.9971906255516</c:v>
                </c:pt>
                <c:pt idx="48">
                  <c:v>108.52598926850554</c:v>
                </c:pt>
                <c:pt idx="49">
                  <c:v>109.91354276869565</c:v>
                </c:pt>
                <c:pt idx="50">
                  <c:v>116.16822102830081</c:v>
                </c:pt>
                <c:pt idx="51">
                  <c:v>116.69355260785107</c:v>
                </c:pt>
                <c:pt idx="52">
                  <c:v>120.34567599445883</c:v>
                </c:pt>
                <c:pt idx="53">
                  <c:v>121.40268456630722</c:v>
                </c:pt>
                <c:pt idx="54">
                  <c:v>123.58884843181065</c:v>
                </c:pt>
                <c:pt idx="55">
                  <c:v>124.27700927019018</c:v>
                </c:pt>
                <c:pt idx="56">
                  <c:v>124.75869586303254</c:v>
                </c:pt>
                <c:pt idx="57">
                  <c:v>125.58743409386874</c:v>
                </c:pt>
                <c:pt idx="58">
                  <c:v>129.61657510151645</c:v>
                </c:pt>
                <c:pt idx="59">
                  <c:v>129.66094764616849</c:v>
                </c:pt>
                <c:pt idx="60">
                  <c:v>130.53595311807379</c:v>
                </c:pt>
                <c:pt idx="61">
                  <c:v>138.08738936716261</c:v>
                </c:pt>
                <c:pt idx="62">
                  <c:v>140.62445157904813</c:v>
                </c:pt>
                <c:pt idx="63">
                  <c:v>140.74907504954223</c:v>
                </c:pt>
                <c:pt idx="64">
                  <c:v>143.88822466132279</c:v>
                </c:pt>
                <c:pt idx="65">
                  <c:v>145.36614036011753</c:v>
                </c:pt>
                <c:pt idx="66">
                  <c:v>147.77746877265702</c:v>
                </c:pt>
                <c:pt idx="67">
                  <c:v>153.23336305618102</c:v>
                </c:pt>
                <c:pt idx="68">
                  <c:v>154.9251395639146</c:v>
                </c:pt>
                <c:pt idx="69">
                  <c:v>158.42602034705772</c:v>
                </c:pt>
                <c:pt idx="70">
                  <c:v>158.85187390570309</c:v>
                </c:pt>
                <c:pt idx="71">
                  <c:v>162.39030405588488</c:v>
                </c:pt>
                <c:pt idx="72">
                  <c:v>165.36261787016548</c:v>
                </c:pt>
                <c:pt idx="73">
                  <c:v>169.23625221690767</c:v>
                </c:pt>
                <c:pt idx="74">
                  <c:v>171.75019176255512</c:v>
                </c:pt>
                <c:pt idx="75">
                  <c:v>171.96534993902864</c:v>
                </c:pt>
                <c:pt idx="76">
                  <c:v>172.09316145052955</c:v>
                </c:pt>
                <c:pt idx="77">
                  <c:v>175.55464831848667</c:v>
                </c:pt>
                <c:pt idx="78">
                  <c:v>176.40186219194484</c:v>
                </c:pt>
                <c:pt idx="79">
                  <c:v>178.2118620477097</c:v>
                </c:pt>
                <c:pt idx="80">
                  <c:v>187.85888951808528</c:v>
                </c:pt>
                <c:pt idx="81">
                  <c:v>190.06865168580151</c:v>
                </c:pt>
                <c:pt idx="82">
                  <c:v>194.18730049962929</c:v>
                </c:pt>
                <c:pt idx="83">
                  <c:v>197.00793436340803</c:v>
                </c:pt>
                <c:pt idx="84">
                  <c:v>203.74227422404601</c:v>
                </c:pt>
                <c:pt idx="85">
                  <c:v>204.84299540223256</c:v>
                </c:pt>
                <c:pt idx="86">
                  <c:v>212.90968890142082</c:v>
                </c:pt>
                <c:pt idx="87">
                  <c:v>217.28529305398922</c:v>
                </c:pt>
                <c:pt idx="88">
                  <c:v>219.26799243463944</c:v>
                </c:pt>
                <c:pt idx="89">
                  <c:v>222.20022372260041</c:v>
                </c:pt>
                <c:pt idx="90">
                  <c:v>227.63855399994651</c:v>
                </c:pt>
                <c:pt idx="91">
                  <c:v>247.37904640785723</c:v>
                </c:pt>
                <c:pt idx="92">
                  <c:v>262.88539747411807</c:v>
                </c:pt>
                <c:pt idx="93">
                  <c:v>281.61815792773655</c:v>
                </c:pt>
                <c:pt idx="94">
                  <c:v>282.40063286048144</c:v>
                </c:pt>
                <c:pt idx="95">
                  <c:v>287.01656613684128</c:v>
                </c:pt>
                <c:pt idx="96">
                  <c:v>290.48639977390445</c:v>
                </c:pt>
                <c:pt idx="97">
                  <c:v>348.5759731500342</c:v>
                </c:pt>
                <c:pt idx="98">
                  <c:v>420.48368847872155</c:v>
                </c:pt>
                <c:pt idx="99">
                  <c:v>402.25441390440182</c:v>
                </c:pt>
              </c:numCache>
            </c:numRef>
          </c:xVal>
          <c:yVal>
            <c:numRef>
              <c:f>'Var + VAN'!$B$401:$B$500</c:f>
              <c:numCache>
                <c:formatCode>0%</c:formatCode>
                <c:ptCount val="100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  <c:pt idx="14">
                  <c:v>0.16</c:v>
                </c:pt>
                <c:pt idx="15">
                  <c:v>0.17</c:v>
                </c:pt>
                <c:pt idx="16">
                  <c:v>0.18</c:v>
                </c:pt>
                <c:pt idx="17">
                  <c:v>0.19</c:v>
                </c:pt>
                <c:pt idx="18">
                  <c:v>0.2</c:v>
                </c:pt>
                <c:pt idx="19">
                  <c:v>0.21</c:v>
                </c:pt>
                <c:pt idx="20">
                  <c:v>0.22</c:v>
                </c:pt>
                <c:pt idx="21">
                  <c:v>0.23</c:v>
                </c:pt>
                <c:pt idx="22">
                  <c:v>0.24</c:v>
                </c:pt>
                <c:pt idx="23">
                  <c:v>0.25</c:v>
                </c:pt>
                <c:pt idx="24">
                  <c:v>0.26</c:v>
                </c:pt>
                <c:pt idx="25">
                  <c:v>0.27</c:v>
                </c:pt>
                <c:pt idx="26">
                  <c:v>0.28000000000000003</c:v>
                </c:pt>
                <c:pt idx="27">
                  <c:v>0.28999999999999998</c:v>
                </c:pt>
                <c:pt idx="28">
                  <c:v>0.3</c:v>
                </c:pt>
                <c:pt idx="29">
                  <c:v>0.31</c:v>
                </c:pt>
                <c:pt idx="30">
                  <c:v>0.32</c:v>
                </c:pt>
                <c:pt idx="31">
                  <c:v>0.33</c:v>
                </c:pt>
                <c:pt idx="32">
                  <c:v>0.34</c:v>
                </c:pt>
                <c:pt idx="33">
                  <c:v>0.35</c:v>
                </c:pt>
                <c:pt idx="34">
                  <c:v>0.36</c:v>
                </c:pt>
                <c:pt idx="35">
                  <c:v>0.37</c:v>
                </c:pt>
                <c:pt idx="36">
                  <c:v>0.38</c:v>
                </c:pt>
                <c:pt idx="37">
                  <c:v>0.39</c:v>
                </c:pt>
                <c:pt idx="38">
                  <c:v>0.4</c:v>
                </c:pt>
                <c:pt idx="39">
                  <c:v>0.41</c:v>
                </c:pt>
                <c:pt idx="40">
                  <c:v>0.42</c:v>
                </c:pt>
                <c:pt idx="41">
                  <c:v>0.43</c:v>
                </c:pt>
                <c:pt idx="42">
                  <c:v>0.44</c:v>
                </c:pt>
                <c:pt idx="43">
                  <c:v>0.45</c:v>
                </c:pt>
                <c:pt idx="44">
                  <c:v>0.46</c:v>
                </c:pt>
                <c:pt idx="45">
                  <c:v>0.47</c:v>
                </c:pt>
                <c:pt idx="46">
                  <c:v>0.48</c:v>
                </c:pt>
                <c:pt idx="47">
                  <c:v>0.49</c:v>
                </c:pt>
                <c:pt idx="48">
                  <c:v>0.5</c:v>
                </c:pt>
                <c:pt idx="49">
                  <c:v>0.51</c:v>
                </c:pt>
                <c:pt idx="50">
                  <c:v>0.52</c:v>
                </c:pt>
                <c:pt idx="51">
                  <c:v>0.53</c:v>
                </c:pt>
                <c:pt idx="52">
                  <c:v>0.54</c:v>
                </c:pt>
                <c:pt idx="53">
                  <c:v>0.55000000000000004</c:v>
                </c:pt>
                <c:pt idx="54">
                  <c:v>0.56000000000000005</c:v>
                </c:pt>
                <c:pt idx="55">
                  <c:v>0.56999999999999995</c:v>
                </c:pt>
                <c:pt idx="56">
                  <c:v>0.57999999999999996</c:v>
                </c:pt>
                <c:pt idx="57">
                  <c:v>0.59</c:v>
                </c:pt>
                <c:pt idx="58">
                  <c:v>0.6</c:v>
                </c:pt>
                <c:pt idx="59">
                  <c:v>0.61</c:v>
                </c:pt>
                <c:pt idx="60">
                  <c:v>0.62</c:v>
                </c:pt>
                <c:pt idx="61">
                  <c:v>0.63</c:v>
                </c:pt>
                <c:pt idx="62">
                  <c:v>0.64</c:v>
                </c:pt>
                <c:pt idx="63">
                  <c:v>0.65</c:v>
                </c:pt>
                <c:pt idx="64">
                  <c:v>0.66</c:v>
                </c:pt>
                <c:pt idx="65">
                  <c:v>0.67</c:v>
                </c:pt>
                <c:pt idx="66">
                  <c:v>0.68</c:v>
                </c:pt>
                <c:pt idx="67">
                  <c:v>0.69</c:v>
                </c:pt>
                <c:pt idx="68">
                  <c:v>0.7</c:v>
                </c:pt>
                <c:pt idx="69">
                  <c:v>0.71</c:v>
                </c:pt>
                <c:pt idx="70">
                  <c:v>0.72</c:v>
                </c:pt>
                <c:pt idx="71">
                  <c:v>0.73</c:v>
                </c:pt>
                <c:pt idx="72">
                  <c:v>0.74</c:v>
                </c:pt>
                <c:pt idx="73">
                  <c:v>0.75</c:v>
                </c:pt>
                <c:pt idx="74">
                  <c:v>0.76</c:v>
                </c:pt>
                <c:pt idx="75">
                  <c:v>0.77</c:v>
                </c:pt>
                <c:pt idx="76">
                  <c:v>0.78</c:v>
                </c:pt>
                <c:pt idx="77">
                  <c:v>0.79</c:v>
                </c:pt>
                <c:pt idx="78">
                  <c:v>0.8</c:v>
                </c:pt>
                <c:pt idx="79">
                  <c:v>0.81</c:v>
                </c:pt>
                <c:pt idx="80">
                  <c:v>0.82</c:v>
                </c:pt>
                <c:pt idx="81">
                  <c:v>0.83</c:v>
                </c:pt>
                <c:pt idx="82">
                  <c:v>0.84</c:v>
                </c:pt>
                <c:pt idx="83">
                  <c:v>0.85</c:v>
                </c:pt>
                <c:pt idx="84">
                  <c:v>0.86</c:v>
                </c:pt>
                <c:pt idx="85">
                  <c:v>0.87</c:v>
                </c:pt>
                <c:pt idx="86">
                  <c:v>0.88</c:v>
                </c:pt>
                <c:pt idx="87">
                  <c:v>0.89</c:v>
                </c:pt>
                <c:pt idx="88">
                  <c:v>0.9</c:v>
                </c:pt>
                <c:pt idx="89">
                  <c:v>0.91</c:v>
                </c:pt>
                <c:pt idx="90">
                  <c:v>0.92</c:v>
                </c:pt>
                <c:pt idx="91">
                  <c:v>0.93</c:v>
                </c:pt>
                <c:pt idx="92">
                  <c:v>0.94</c:v>
                </c:pt>
                <c:pt idx="93">
                  <c:v>0.95</c:v>
                </c:pt>
                <c:pt idx="94">
                  <c:v>0.96</c:v>
                </c:pt>
                <c:pt idx="95">
                  <c:v>0.97</c:v>
                </c:pt>
                <c:pt idx="96">
                  <c:v>0.98</c:v>
                </c:pt>
                <c:pt idx="97">
                  <c:v>0.99</c:v>
                </c:pt>
                <c:pt idx="98">
                  <c:v>1</c:v>
                </c:pt>
                <c:pt idx="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06-4D3E-886C-65C26EF5B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94944"/>
        <c:axId val="11259686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'Var + VAN'!$C$400</c15:sqref>
                        </c15:formulaRef>
                      </c:ext>
                    </c:extLst>
                    <c:strCache>
                      <c:ptCount val="1"/>
                      <c:pt idx="0">
                        <c:v>-118.3907666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'Var + VAN'!$C$401:$C$500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-66.902216985411997</c:v>
                      </c:pt>
                      <c:pt idx="1">
                        <c:v>-61.920034776700618</c:v>
                      </c:pt>
                      <c:pt idx="2">
                        <c:v>-43.613473802875703</c:v>
                      </c:pt>
                      <c:pt idx="3">
                        <c:v>-42.277120626714186</c:v>
                      </c:pt>
                      <c:pt idx="4">
                        <c:v>-37.833322179290562</c:v>
                      </c:pt>
                      <c:pt idx="5">
                        <c:v>-33.387796106844419</c:v>
                      </c:pt>
                      <c:pt idx="6">
                        <c:v>-31.787460742116977</c:v>
                      </c:pt>
                      <c:pt idx="7">
                        <c:v>-25.961760418787648</c:v>
                      </c:pt>
                      <c:pt idx="8">
                        <c:v>-25.258989780667477</c:v>
                      </c:pt>
                      <c:pt idx="9">
                        <c:v>-24.696356422146955</c:v>
                      </c:pt>
                      <c:pt idx="10">
                        <c:v>-8.6406671236415562</c:v>
                      </c:pt>
                      <c:pt idx="11">
                        <c:v>-7.7042732076801173</c:v>
                      </c:pt>
                      <c:pt idx="12">
                        <c:v>-0.27619291331761531</c:v>
                      </c:pt>
                      <c:pt idx="13">
                        <c:v>0.26003748658143877</c:v>
                      </c:pt>
                      <c:pt idx="14">
                        <c:v>3.1659051045364031</c:v>
                      </c:pt>
                      <c:pt idx="15">
                        <c:v>3.317635418005878</c:v>
                      </c:pt>
                      <c:pt idx="16">
                        <c:v>7.2114055688022063</c:v>
                      </c:pt>
                      <c:pt idx="17">
                        <c:v>13.231750123245526</c:v>
                      </c:pt>
                      <c:pt idx="18">
                        <c:v>18.587507830539899</c:v>
                      </c:pt>
                      <c:pt idx="19">
                        <c:v>20.806174255617066</c:v>
                      </c:pt>
                      <c:pt idx="20">
                        <c:v>27.203632601602592</c:v>
                      </c:pt>
                      <c:pt idx="21">
                        <c:v>28.397772905490783</c:v>
                      </c:pt>
                      <c:pt idx="22">
                        <c:v>29.121348555188778</c:v>
                      </c:pt>
                      <c:pt idx="23">
                        <c:v>29.275073628427137</c:v>
                      </c:pt>
                      <c:pt idx="24">
                        <c:v>29.689619258115137</c:v>
                      </c:pt>
                      <c:pt idx="25">
                        <c:v>30.219194179980256</c:v>
                      </c:pt>
                      <c:pt idx="26">
                        <c:v>32.527813078885984</c:v>
                      </c:pt>
                      <c:pt idx="27">
                        <c:v>35.332123321954427</c:v>
                      </c:pt>
                      <c:pt idx="28">
                        <c:v>40.135926817690766</c:v>
                      </c:pt>
                      <c:pt idx="29">
                        <c:v>42.627886834355429</c:v>
                      </c:pt>
                      <c:pt idx="30">
                        <c:v>45.862368886717242</c:v>
                      </c:pt>
                      <c:pt idx="31">
                        <c:v>58.465769850840957</c:v>
                      </c:pt>
                      <c:pt idx="32">
                        <c:v>68.521855513538554</c:v>
                      </c:pt>
                      <c:pt idx="33">
                        <c:v>70.233257416517588</c:v>
                      </c:pt>
                      <c:pt idx="34">
                        <c:v>72.49347630874469</c:v>
                      </c:pt>
                      <c:pt idx="35">
                        <c:v>73.414023433059498</c:v>
                      </c:pt>
                      <c:pt idx="36">
                        <c:v>75.897044306941993</c:v>
                      </c:pt>
                      <c:pt idx="37">
                        <c:v>77.084712583920677</c:v>
                      </c:pt>
                      <c:pt idx="38">
                        <c:v>79.432186336111172</c:v>
                      </c:pt>
                      <c:pt idx="39">
                        <c:v>82.245703645165335</c:v>
                      </c:pt>
                      <c:pt idx="40">
                        <c:v>84.696462358583702</c:v>
                      </c:pt>
                      <c:pt idx="41">
                        <c:v>84.836989952321574</c:v>
                      </c:pt>
                      <c:pt idx="42">
                        <c:v>91.404213575639034</c:v>
                      </c:pt>
                      <c:pt idx="43">
                        <c:v>91.501088833805625</c:v>
                      </c:pt>
                      <c:pt idx="44">
                        <c:v>93.371039510419138</c:v>
                      </c:pt>
                      <c:pt idx="45">
                        <c:v>94.048394615422495</c:v>
                      </c:pt>
                      <c:pt idx="46">
                        <c:v>98.751972741244629</c:v>
                      </c:pt>
                      <c:pt idx="47">
                        <c:v>98.765940410005996</c:v>
                      </c:pt>
                      <c:pt idx="48">
                        <c:v>99.638224646155962</c:v>
                      </c:pt>
                      <c:pt idx="49">
                        <c:v>101.20646543876155</c:v>
                      </c:pt>
                      <c:pt idx="50">
                        <c:v>107.55871988231783</c:v>
                      </c:pt>
                      <c:pt idx="51">
                        <c:v>107.61234384587097</c:v>
                      </c:pt>
                      <c:pt idx="52">
                        <c:v>112.27408203090351</c:v>
                      </c:pt>
                      <c:pt idx="53">
                        <c:v>112.82272531622721</c:v>
                      </c:pt>
                      <c:pt idx="54">
                        <c:v>114.9840134865735</c:v>
                      </c:pt>
                      <c:pt idx="55">
                        <c:v>115.38665410734519</c:v>
                      </c:pt>
                      <c:pt idx="56">
                        <c:v>115.47574801329139</c:v>
                      </c:pt>
                      <c:pt idx="57">
                        <c:v>116.92757239665711</c:v>
                      </c:pt>
                      <c:pt idx="58">
                        <c:v>121.06968776373489</c:v>
                      </c:pt>
                      <c:pt idx="59">
                        <c:v>121.46282445346004</c:v>
                      </c:pt>
                      <c:pt idx="60">
                        <c:v>122.46573040820687</c:v>
                      </c:pt>
                      <c:pt idx="61">
                        <c:v>129.89459056917468</c:v>
                      </c:pt>
                      <c:pt idx="62">
                        <c:v>132.3122143368615</c:v>
                      </c:pt>
                      <c:pt idx="63">
                        <c:v>133.08000793322216</c:v>
                      </c:pt>
                      <c:pt idx="64">
                        <c:v>133.49135698619992</c:v>
                      </c:pt>
                      <c:pt idx="65">
                        <c:v>135.34555698585459</c:v>
                      </c:pt>
                      <c:pt idx="66">
                        <c:v>138.22534447582265</c:v>
                      </c:pt>
                      <c:pt idx="67">
                        <c:v>144.79394582530489</c:v>
                      </c:pt>
                      <c:pt idx="68">
                        <c:v>145.93387863031842</c:v>
                      </c:pt>
                      <c:pt idx="69">
                        <c:v>148.62378092467611</c:v>
                      </c:pt>
                      <c:pt idx="70">
                        <c:v>149.19292321896961</c:v>
                      </c:pt>
                      <c:pt idx="71">
                        <c:v>153.67845414120734</c:v>
                      </c:pt>
                      <c:pt idx="72">
                        <c:v>155.95102977402945</c:v>
                      </c:pt>
                      <c:pt idx="73">
                        <c:v>160.97948524350892</c:v>
                      </c:pt>
                      <c:pt idx="74">
                        <c:v>163.32497421689601</c:v>
                      </c:pt>
                      <c:pt idx="75">
                        <c:v>163.58746502389488</c:v>
                      </c:pt>
                      <c:pt idx="76">
                        <c:v>163.98139049752319</c:v>
                      </c:pt>
                      <c:pt idx="77">
                        <c:v>165.98289531649155</c:v>
                      </c:pt>
                      <c:pt idx="78">
                        <c:v>167.81563238966501</c:v>
                      </c:pt>
                      <c:pt idx="79">
                        <c:v>169.19153374471159</c:v>
                      </c:pt>
                      <c:pt idx="80">
                        <c:v>179.54003630515189</c:v>
                      </c:pt>
                      <c:pt idx="81">
                        <c:v>181.77606858740916</c:v>
                      </c:pt>
                      <c:pt idx="82">
                        <c:v>184.91568920817843</c:v>
                      </c:pt>
                      <c:pt idx="83">
                        <c:v>187.22939419348643</c:v>
                      </c:pt>
                      <c:pt idx="84">
                        <c:v>193.7559134205386</c:v>
                      </c:pt>
                      <c:pt idx="85">
                        <c:v>195.3882553801769</c:v>
                      </c:pt>
                      <c:pt idx="86">
                        <c:v>204.5581668253607</c:v>
                      </c:pt>
                      <c:pt idx="87">
                        <c:v>208.57190829204433</c:v>
                      </c:pt>
                      <c:pt idx="88">
                        <c:v>210.8711652388838</c:v>
                      </c:pt>
                      <c:pt idx="89">
                        <c:v>212.44906382535453</c:v>
                      </c:pt>
                      <c:pt idx="90">
                        <c:v>217.40456399556822</c:v>
                      </c:pt>
                      <c:pt idx="91">
                        <c:v>238.69140077848635</c:v>
                      </c:pt>
                      <c:pt idx="92">
                        <c:v>252.7625587275117</c:v>
                      </c:pt>
                      <c:pt idx="93">
                        <c:v>272.05702911843127</c:v>
                      </c:pt>
                      <c:pt idx="94">
                        <c:v>273.16862043928438</c:v>
                      </c:pt>
                      <c:pt idx="95">
                        <c:v>279.20498259039084</c:v>
                      </c:pt>
                      <c:pt idx="96">
                        <c:v>280.60575662127508</c:v>
                      </c:pt>
                      <c:pt idx="97">
                        <c:v>339.39085650773916</c:v>
                      </c:pt>
                      <c:pt idx="98">
                        <c:v>412.30295200771417</c:v>
                      </c:pt>
                      <c:pt idx="99">
                        <c:v>392.35037120419554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'Var + VAN'!$B$401:$B$500</c15:sqref>
                        </c15:formulaRef>
                      </c:ext>
                    </c:extLst>
                    <c:numCache>
                      <c:formatCode>0%</c:formatCode>
                      <c:ptCount val="100"/>
                      <c:pt idx="0">
                        <c:v>0.02</c:v>
                      </c:pt>
                      <c:pt idx="1">
                        <c:v>0.03</c:v>
                      </c:pt>
                      <c:pt idx="2">
                        <c:v>0.04</c:v>
                      </c:pt>
                      <c:pt idx="3">
                        <c:v>0.05</c:v>
                      </c:pt>
                      <c:pt idx="4">
                        <c:v>0.06</c:v>
                      </c:pt>
                      <c:pt idx="5">
                        <c:v>7.0000000000000007E-2</c:v>
                      </c:pt>
                      <c:pt idx="6">
                        <c:v>0.08</c:v>
                      </c:pt>
                      <c:pt idx="7">
                        <c:v>0.09</c:v>
                      </c:pt>
                      <c:pt idx="8">
                        <c:v>0.1</c:v>
                      </c:pt>
                      <c:pt idx="9">
                        <c:v>0.11</c:v>
                      </c:pt>
                      <c:pt idx="10">
                        <c:v>0.12</c:v>
                      </c:pt>
                      <c:pt idx="11">
                        <c:v>0.13</c:v>
                      </c:pt>
                      <c:pt idx="12">
                        <c:v>0.14000000000000001</c:v>
                      </c:pt>
                      <c:pt idx="13">
                        <c:v>0.15</c:v>
                      </c:pt>
                      <c:pt idx="14">
                        <c:v>0.16</c:v>
                      </c:pt>
                      <c:pt idx="15">
                        <c:v>0.17</c:v>
                      </c:pt>
                      <c:pt idx="16">
                        <c:v>0.18</c:v>
                      </c:pt>
                      <c:pt idx="17">
                        <c:v>0.19</c:v>
                      </c:pt>
                      <c:pt idx="18">
                        <c:v>0.2</c:v>
                      </c:pt>
                      <c:pt idx="19">
                        <c:v>0.21</c:v>
                      </c:pt>
                      <c:pt idx="20">
                        <c:v>0.22</c:v>
                      </c:pt>
                      <c:pt idx="21">
                        <c:v>0.23</c:v>
                      </c:pt>
                      <c:pt idx="22">
                        <c:v>0.24</c:v>
                      </c:pt>
                      <c:pt idx="23">
                        <c:v>0.25</c:v>
                      </c:pt>
                      <c:pt idx="24">
                        <c:v>0.26</c:v>
                      </c:pt>
                      <c:pt idx="25">
                        <c:v>0.27</c:v>
                      </c:pt>
                      <c:pt idx="26">
                        <c:v>0.28000000000000003</c:v>
                      </c:pt>
                      <c:pt idx="27">
                        <c:v>0.28999999999999998</c:v>
                      </c:pt>
                      <c:pt idx="28">
                        <c:v>0.3</c:v>
                      </c:pt>
                      <c:pt idx="29">
                        <c:v>0.31</c:v>
                      </c:pt>
                      <c:pt idx="30">
                        <c:v>0.32</c:v>
                      </c:pt>
                      <c:pt idx="31">
                        <c:v>0.33</c:v>
                      </c:pt>
                      <c:pt idx="32">
                        <c:v>0.34</c:v>
                      </c:pt>
                      <c:pt idx="33">
                        <c:v>0.35</c:v>
                      </c:pt>
                      <c:pt idx="34">
                        <c:v>0.36</c:v>
                      </c:pt>
                      <c:pt idx="35">
                        <c:v>0.37</c:v>
                      </c:pt>
                      <c:pt idx="36">
                        <c:v>0.38</c:v>
                      </c:pt>
                      <c:pt idx="37">
                        <c:v>0.39</c:v>
                      </c:pt>
                      <c:pt idx="38">
                        <c:v>0.4</c:v>
                      </c:pt>
                      <c:pt idx="39">
                        <c:v>0.41</c:v>
                      </c:pt>
                      <c:pt idx="40">
                        <c:v>0.42</c:v>
                      </c:pt>
                      <c:pt idx="41">
                        <c:v>0.43</c:v>
                      </c:pt>
                      <c:pt idx="42">
                        <c:v>0.44</c:v>
                      </c:pt>
                      <c:pt idx="43">
                        <c:v>0.45</c:v>
                      </c:pt>
                      <c:pt idx="44">
                        <c:v>0.46</c:v>
                      </c:pt>
                      <c:pt idx="45">
                        <c:v>0.47</c:v>
                      </c:pt>
                      <c:pt idx="46">
                        <c:v>0.48</c:v>
                      </c:pt>
                      <c:pt idx="47">
                        <c:v>0.49</c:v>
                      </c:pt>
                      <c:pt idx="48">
                        <c:v>0.5</c:v>
                      </c:pt>
                      <c:pt idx="49">
                        <c:v>0.51</c:v>
                      </c:pt>
                      <c:pt idx="50">
                        <c:v>0.52</c:v>
                      </c:pt>
                      <c:pt idx="51">
                        <c:v>0.53</c:v>
                      </c:pt>
                      <c:pt idx="52">
                        <c:v>0.54</c:v>
                      </c:pt>
                      <c:pt idx="53">
                        <c:v>0.55000000000000004</c:v>
                      </c:pt>
                      <c:pt idx="54">
                        <c:v>0.56000000000000005</c:v>
                      </c:pt>
                      <c:pt idx="55">
                        <c:v>0.56999999999999995</c:v>
                      </c:pt>
                      <c:pt idx="56">
                        <c:v>0.57999999999999996</c:v>
                      </c:pt>
                      <c:pt idx="57">
                        <c:v>0.59</c:v>
                      </c:pt>
                      <c:pt idx="58">
                        <c:v>0.6</c:v>
                      </c:pt>
                      <c:pt idx="59">
                        <c:v>0.61</c:v>
                      </c:pt>
                      <c:pt idx="60">
                        <c:v>0.62</c:v>
                      </c:pt>
                      <c:pt idx="61">
                        <c:v>0.63</c:v>
                      </c:pt>
                      <c:pt idx="62">
                        <c:v>0.64</c:v>
                      </c:pt>
                      <c:pt idx="63">
                        <c:v>0.65</c:v>
                      </c:pt>
                      <c:pt idx="64">
                        <c:v>0.66</c:v>
                      </c:pt>
                      <c:pt idx="65">
                        <c:v>0.67</c:v>
                      </c:pt>
                      <c:pt idx="66">
                        <c:v>0.68</c:v>
                      </c:pt>
                      <c:pt idx="67">
                        <c:v>0.69</c:v>
                      </c:pt>
                      <c:pt idx="68">
                        <c:v>0.7</c:v>
                      </c:pt>
                      <c:pt idx="69">
                        <c:v>0.71</c:v>
                      </c:pt>
                      <c:pt idx="70">
                        <c:v>0.72</c:v>
                      </c:pt>
                      <c:pt idx="71">
                        <c:v>0.73</c:v>
                      </c:pt>
                      <c:pt idx="72">
                        <c:v>0.74</c:v>
                      </c:pt>
                      <c:pt idx="73">
                        <c:v>0.75</c:v>
                      </c:pt>
                      <c:pt idx="74">
                        <c:v>0.76</c:v>
                      </c:pt>
                      <c:pt idx="75">
                        <c:v>0.77</c:v>
                      </c:pt>
                      <c:pt idx="76">
                        <c:v>0.78</c:v>
                      </c:pt>
                      <c:pt idx="77">
                        <c:v>0.79</c:v>
                      </c:pt>
                      <c:pt idx="78">
                        <c:v>0.8</c:v>
                      </c:pt>
                      <c:pt idx="79">
                        <c:v>0.81</c:v>
                      </c:pt>
                      <c:pt idx="80">
                        <c:v>0.82</c:v>
                      </c:pt>
                      <c:pt idx="81">
                        <c:v>0.83</c:v>
                      </c:pt>
                      <c:pt idx="82">
                        <c:v>0.84</c:v>
                      </c:pt>
                      <c:pt idx="83">
                        <c:v>0.85</c:v>
                      </c:pt>
                      <c:pt idx="84">
                        <c:v>0.86</c:v>
                      </c:pt>
                      <c:pt idx="85">
                        <c:v>0.87</c:v>
                      </c:pt>
                      <c:pt idx="86">
                        <c:v>0.88</c:v>
                      </c:pt>
                      <c:pt idx="87">
                        <c:v>0.89</c:v>
                      </c:pt>
                      <c:pt idx="88">
                        <c:v>0.9</c:v>
                      </c:pt>
                      <c:pt idx="89">
                        <c:v>0.91</c:v>
                      </c:pt>
                      <c:pt idx="90">
                        <c:v>0.92</c:v>
                      </c:pt>
                      <c:pt idx="91">
                        <c:v>0.93</c:v>
                      </c:pt>
                      <c:pt idx="92">
                        <c:v>0.94</c:v>
                      </c:pt>
                      <c:pt idx="93">
                        <c:v>0.95</c:v>
                      </c:pt>
                      <c:pt idx="94">
                        <c:v>0.96</c:v>
                      </c:pt>
                      <c:pt idx="95">
                        <c:v>0.97</c:v>
                      </c:pt>
                      <c:pt idx="96">
                        <c:v>0.98</c:v>
                      </c:pt>
                      <c:pt idx="97">
                        <c:v>0.99</c:v>
                      </c:pt>
                      <c:pt idx="98">
                        <c:v>1</c:v>
                      </c:pt>
                      <c:pt idx="99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806-4D3E-886C-65C26EF5BF82}"/>
                  </c:ext>
                </c:extLst>
              </c15:ser>
            </c15:filteredScatterSeries>
          </c:ext>
        </c:extLst>
      </c:scatterChart>
      <c:valAx>
        <c:axId val="112594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6864"/>
        <c:crosses val="autoZero"/>
        <c:crossBetween val="midCat"/>
      </c:valAx>
      <c:valAx>
        <c:axId val="1125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Probabilidad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949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190501</xdr:colOff>
      <xdr:row>1</xdr:row>
      <xdr:rowOff>0</xdr:rowOff>
    </xdr:from>
    <xdr:to>
      <xdr:col>16</xdr:col>
      <xdr:colOff>152401</xdr:colOff>
      <xdr:row>9</xdr:row>
      <xdr:rowOff>133350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B2A49BB4-8E66-466B-AA86-C75C639728CE}"/>
            </a:ext>
          </a:extLst>
        </xdr:cNvPr>
        <xdr:cNvSpPr txBox="1"/>
      </xdr:nvSpPr>
      <xdr:spPr>
        <a:xfrm>
          <a:off x="8572501" y="152400"/>
          <a:ext cx="3771900" cy="13525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600" b="1"/>
            <a:t>B</a:t>
          </a:r>
          <a:endParaRPr lang="es-PE" sz="1600" b="1" baseline="0"/>
        </a:p>
        <a:p>
          <a:r>
            <a:rPr lang="es-PE" sz="1600" b="1" baseline="0"/>
            <a:t>- CHJL</a:t>
          </a:r>
        </a:p>
        <a:p>
          <a:r>
            <a:rPr lang="es-PE" sz="1600" b="1" baseline="0"/>
            <a:t>- LCLA</a:t>
          </a:r>
        </a:p>
        <a:p>
          <a:r>
            <a:rPr lang="es-PE" sz="1600" b="1" baseline="0"/>
            <a:t>- MEA</a:t>
          </a:r>
        </a:p>
        <a:p>
          <a:r>
            <a:rPr lang="es-PE" sz="1600" b="1" baseline="0"/>
            <a:t>- MVE</a:t>
          </a:r>
          <a:endParaRPr lang="es-PE" sz="1800" b="1"/>
        </a:p>
      </xdr:txBody>
    </xdr:sp>
    <xdr:clientData/>
  </xdr:twoCellAnchor>
  <xdr:twoCellAnchor>
    <xdr:from>
      <xdr:col>5</xdr:col>
      <xdr:colOff>38100</xdr:colOff>
      <xdr:row>398</xdr:row>
      <xdr:rowOff>180975</xdr:rowOff>
    </xdr:from>
    <xdr:to>
      <xdr:col>12</xdr:col>
      <xdr:colOff>76200</xdr:colOff>
      <xdr:row>413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6C708E6-5C5F-4875-A0F2-979D527F0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414</xdr:row>
      <xdr:rowOff>0</xdr:rowOff>
    </xdr:from>
    <xdr:to>
      <xdr:col>12</xdr:col>
      <xdr:colOff>38100</xdr:colOff>
      <xdr:row>428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CE28B61-3496-47E8-B491-D7A435D97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180975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0C1030D-9A9C-4CA0-AEA2-FC7C14556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Correr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F164-BED4-46C5-9D41-F6BDD9561E5B}">
  <sheetPr codeName="Hoja9"/>
  <dimension ref="B6:O501"/>
  <sheetViews>
    <sheetView tabSelected="1" zoomScale="70" zoomScaleNormal="70" workbookViewId="0">
      <selection activeCell="H55" sqref="H55"/>
    </sheetView>
  </sheetViews>
  <sheetFormatPr defaultColWidth="11.42578125" defaultRowHeight="12" x14ac:dyDescent="0.2"/>
  <cols>
    <col min="1" max="1" width="4.7109375" customWidth="1"/>
    <col min="2" max="2" width="29.42578125" customWidth="1"/>
    <col min="3" max="3" width="9.7109375" customWidth="1"/>
    <col min="4" max="4" width="11.5703125" customWidth="1"/>
    <col min="5" max="17" width="9.7109375" customWidth="1"/>
  </cols>
  <sheetData>
    <row r="6" spans="2:15" ht="15" x14ac:dyDescent="0.25">
      <c r="B6" s="133" t="s">
        <v>98</v>
      </c>
    </row>
    <row r="7" spans="2:15" ht="15" x14ac:dyDescent="0.25">
      <c r="B7" s="132" t="s">
        <v>244</v>
      </c>
    </row>
    <row r="8" spans="2:15" ht="13.5" x14ac:dyDescent="0.2">
      <c r="B8" s="119" t="s">
        <v>228</v>
      </c>
      <c r="C8" s="131">
        <f>F40</f>
        <v>69.194442250149692</v>
      </c>
      <c r="D8" s="7" t="s">
        <v>11</v>
      </c>
      <c r="E8" s="49"/>
      <c r="G8" t="s">
        <v>243</v>
      </c>
      <c r="I8">
        <f>F72</f>
        <v>813876.02048471489</v>
      </c>
      <c r="J8" t="s">
        <v>242</v>
      </c>
    </row>
    <row r="9" spans="2:15" ht="13.5" x14ac:dyDescent="0.2">
      <c r="B9" s="119" t="s">
        <v>224</v>
      </c>
      <c r="C9" s="130">
        <f>F41</f>
        <v>58.688947682943642</v>
      </c>
      <c r="D9" s="129" t="s">
        <v>11</v>
      </c>
      <c r="E9" s="128"/>
      <c r="G9" t="s">
        <v>241</v>
      </c>
      <c r="I9" s="1">
        <f>F73</f>
        <v>0.88459431049789983</v>
      </c>
    </row>
    <row r="10" spans="2:15" x14ac:dyDescent="0.2">
      <c r="G10" t="s">
        <v>240</v>
      </c>
      <c r="I10">
        <v>1.28</v>
      </c>
      <c r="J10" t="s">
        <v>239</v>
      </c>
    </row>
    <row r="11" spans="2:15" x14ac:dyDescent="0.2">
      <c r="D11" s="127"/>
      <c r="E11" s="127"/>
      <c r="I11" s="75">
        <v>1.4</v>
      </c>
      <c r="J11" t="s">
        <v>238</v>
      </c>
    </row>
    <row r="12" spans="2:15" ht="15" x14ac:dyDescent="0.25">
      <c r="B12" s="126" t="s">
        <v>237</v>
      </c>
      <c r="C12" s="123" t="s">
        <v>236</v>
      </c>
      <c r="D12" s="123" t="s">
        <v>148</v>
      </c>
      <c r="E12" s="123" t="s">
        <v>235</v>
      </c>
      <c r="G12" s="125" t="s">
        <v>234</v>
      </c>
      <c r="L12" s="124" t="s">
        <v>233</v>
      </c>
    </row>
    <row r="13" spans="2:15" ht="13.5" x14ac:dyDescent="0.2">
      <c r="B13" s="58" t="s">
        <v>232</v>
      </c>
      <c r="C13" s="123" t="s">
        <v>150</v>
      </c>
      <c r="D13" s="123" t="s">
        <v>231</v>
      </c>
      <c r="E13" s="123" t="s">
        <v>230</v>
      </c>
      <c r="G13" s="122" t="s">
        <v>147</v>
      </c>
      <c r="I13" s="75">
        <f>F48</f>
        <v>0.11080812978557748</v>
      </c>
      <c r="J13" t="s">
        <v>227</v>
      </c>
      <c r="L13" t="s">
        <v>229</v>
      </c>
      <c r="N13" s="121">
        <f>F50</f>
        <v>1.0367934073692853E-2</v>
      </c>
      <c r="O13" t="s">
        <v>225</v>
      </c>
    </row>
    <row r="14" spans="2:15" ht="13.5" x14ac:dyDescent="0.2">
      <c r="B14" s="119" t="s">
        <v>228</v>
      </c>
      <c r="C14" s="118">
        <f>F42</f>
        <v>42.133573091233188</v>
      </c>
      <c r="D14" s="118">
        <f>F44</f>
        <v>2375.6993077625343</v>
      </c>
      <c r="E14" s="118">
        <f>F46</f>
        <v>74.880598545126574</v>
      </c>
      <c r="G14" s="120" t="s">
        <v>146</v>
      </c>
      <c r="I14">
        <f>F49</f>
        <v>1.9312402449116143E-2</v>
      </c>
      <c r="J14" t="s">
        <v>227</v>
      </c>
      <c r="L14" t="s">
        <v>226</v>
      </c>
      <c r="N14">
        <f>F51</f>
        <v>5.2101193128217963E-3</v>
      </c>
      <c r="O14" t="s">
        <v>225</v>
      </c>
    </row>
    <row r="15" spans="2:15" ht="13.5" x14ac:dyDescent="0.2">
      <c r="B15" s="119" t="s">
        <v>224</v>
      </c>
      <c r="C15" s="118">
        <f>F43</f>
        <v>103.74893691062348</v>
      </c>
      <c r="D15" s="118">
        <f>F45</f>
        <v>1687.5250060700414</v>
      </c>
      <c r="E15" s="118">
        <f>F47</f>
        <v>69.748703576646349</v>
      </c>
    </row>
    <row r="17" spans="2:12" ht="13.5" x14ac:dyDescent="0.2">
      <c r="B17" s="117" t="s">
        <v>223</v>
      </c>
    </row>
    <row r="18" spans="2:12" x14ac:dyDescent="0.2">
      <c r="B18" s="56" t="s">
        <v>135</v>
      </c>
      <c r="C18" s="55">
        <v>1</v>
      </c>
      <c r="D18" s="56">
        <v>2</v>
      </c>
      <c r="E18" s="56">
        <v>3</v>
      </c>
      <c r="F18" s="56">
        <v>4</v>
      </c>
      <c r="G18" s="56">
        <v>5</v>
      </c>
      <c r="H18" s="56">
        <v>6</v>
      </c>
      <c r="I18" s="56">
        <v>7</v>
      </c>
      <c r="J18" s="56">
        <v>8</v>
      </c>
      <c r="K18" s="56">
        <v>9</v>
      </c>
      <c r="L18" s="56">
        <v>10</v>
      </c>
    </row>
    <row r="19" spans="2:12" x14ac:dyDescent="0.2">
      <c r="B19" s="56" t="s">
        <v>159</v>
      </c>
      <c r="C19" s="116">
        <f>F52</f>
        <v>0.54070939741778956</v>
      </c>
      <c r="D19" s="115">
        <f>F53</f>
        <v>0.59707459794453588</v>
      </c>
      <c r="E19" s="115">
        <f>F54</f>
        <v>0.5755206157611068</v>
      </c>
      <c r="F19" s="115">
        <f>F55</f>
        <v>0.51696314215153916</v>
      </c>
      <c r="G19" s="115">
        <f>F56</f>
        <v>0.54624159260479932</v>
      </c>
      <c r="H19" s="115">
        <f>F57</f>
        <v>0.50352497628513826</v>
      </c>
      <c r="I19" s="115">
        <f>F58</f>
        <v>0.51088850967212962</v>
      </c>
      <c r="J19" s="115">
        <f>F59</f>
        <v>0.573116085224327</v>
      </c>
      <c r="K19" s="115">
        <f>F60</f>
        <v>0.55793829001156525</v>
      </c>
      <c r="L19" s="115">
        <f>F61</f>
        <v>0.52617998013726441</v>
      </c>
    </row>
    <row r="20" spans="2:12" x14ac:dyDescent="0.2">
      <c r="B20" s="56" t="s">
        <v>161</v>
      </c>
      <c r="C20" s="116">
        <f>F62</f>
        <v>1.1569022544371639</v>
      </c>
      <c r="D20" s="115">
        <f>F63</f>
        <v>1.2157264319967267</v>
      </c>
      <c r="E20" s="115">
        <f>F64</f>
        <v>1.2277163728091844</v>
      </c>
      <c r="F20" s="115">
        <f>F65</f>
        <v>1.241396451384057</v>
      </c>
      <c r="G20" s="115">
        <f>F66</f>
        <v>1.2397552291699516</v>
      </c>
      <c r="H20" s="115">
        <f>F67</f>
        <v>1.1637317032612233</v>
      </c>
      <c r="I20" s="115">
        <f>F68</f>
        <v>1.4172302339537606</v>
      </c>
      <c r="J20" s="115">
        <f>F69</f>
        <v>1.193741371415266</v>
      </c>
      <c r="K20" s="115">
        <f>F70</f>
        <v>1.3066980466198683</v>
      </c>
      <c r="L20" s="115">
        <f>F71</f>
        <v>1.4099401659477759</v>
      </c>
    </row>
    <row r="21" spans="2:12" x14ac:dyDescent="0.2">
      <c r="B21" s="92"/>
      <c r="C21" s="114"/>
      <c r="D21" s="114"/>
      <c r="E21" s="114"/>
      <c r="F21" s="114"/>
      <c r="G21" s="114"/>
      <c r="H21" s="114"/>
      <c r="I21" s="114"/>
      <c r="J21" s="114"/>
      <c r="K21" s="114"/>
      <c r="L21" s="114"/>
    </row>
    <row r="23" spans="2:12" x14ac:dyDescent="0.2">
      <c r="B23" t="s">
        <v>222</v>
      </c>
    </row>
    <row r="24" spans="2:12" x14ac:dyDescent="0.2">
      <c r="B24" t="s">
        <v>221</v>
      </c>
    </row>
    <row r="25" spans="2:12" x14ac:dyDescent="0.2">
      <c r="B25" t="s">
        <v>103</v>
      </c>
      <c r="C25" s="75">
        <f>F74</f>
        <v>0.29844665369540491</v>
      </c>
    </row>
    <row r="26" spans="2:12" x14ac:dyDescent="0.2">
      <c r="B26" t="s">
        <v>220</v>
      </c>
    </row>
    <row r="27" spans="2:12" x14ac:dyDescent="0.2">
      <c r="B27" t="s">
        <v>102</v>
      </c>
      <c r="C27" s="75">
        <f>F75</f>
        <v>0.10029895703322077</v>
      </c>
      <c r="D27" t="s">
        <v>219</v>
      </c>
    </row>
    <row r="28" spans="2:12" x14ac:dyDescent="0.2">
      <c r="B28" t="s">
        <v>101</v>
      </c>
      <c r="C28">
        <f>F76</f>
        <v>9.7607132363839843E-3</v>
      </c>
      <c r="D28" t="s">
        <v>219</v>
      </c>
    </row>
    <row r="31" spans="2:12" x14ac:dyDescent="0.2">
      <c r="B31" t="s">
        <v>218</v>
      </c>
      <c r="C31">
        <f>F77</f>
        <v>63.602847629666165</v>
      </c>
      <c r="D31" t="s">
        <v>11</v>
      </c>
    </row>
    <row r="32" spans="2:12" x14ac:dyDescent="0.2">
      <c r="B32" t="s">
        <v>217</v>
      </c>
      <c r="C32">
        <f>F78</f>
        <v>0.11548308832356864</v>
      </c>
      <c r="D32" t="s">
        <v>211</v>
      </c>
    </row>
    <row r="33" spans="2:8" x14ac:dyDescent="0.2">
      <c r="B33" t="s">
        <v>216</v>
      </c>
      <c r="C33">
        <v>4</v>
      </c>
      <c r="D33" t="s">
        <v>215</v>
      </c>
    </row>
    <row r="34" spans="2:8" x14ac:dyDescent="0.2">
      <c r="B34" t="s">
        <v>214</v>
      </c>
      <c r="C34" t="s">
        <v>213</v>
      </c>
    </row>
    <row r="35" spans="2:8" x14ac:dyDescent="0.2">
      <c r="B35" t="s">
        <v>212</v>
      </c>
      <c r="C35">
        <f>F79</f>
        <v>4.3878952532842838E-2</v>
      </c>
      <c r="D35" t="s">
        <v>211</v>
      </c>
    </row>
    <row r="37" spans="2:8" ht="15" x14ac:dyDescent="0.25">
      <c r="B37" s="110">
        <f>COUNTA(B40:B79)</f>
        <v>40</v>
      </c>
    </row>
    <row r="38" spans="2:8" x14ac:dyDescent="0.2">
      <c r="B38" s="113" t="s">
        <v>210</v>
      </c>
      <c r="C38" s="54" t="s">
        <v>209</v>
      </c>
      <c r="D38" s="3" t="s">
        <v>208</v>
      </c>
      <c r="E38" s="3" t="s">
        <v>207</v>
      </c>
    </row>
    <row r="39" spans="2:8" x14ac:dyDescent="0.2">
      <c r="B39" s="112"/>
      <c r="C39" s="52" t="s">
        <v>206</v>
      </c>
      <c r="D39" s="9" t="s">
        <v>205</v>
      </c>
      <c r="E39" s="9" t="s">
        <v>204</v>
      </c>
    </row>
    <row r="40" spans="2:8" ht="15" x14ac:dyDescent="0.25">
      <c r="B40" s="11" t="s">
        <v>203</v>
      </c>
      <c r="C40" s="31">
        <v>0.9</v>
      </c>
      <c r="D40" s="11">
        <v>1.2</v>
      </c>
      <c r="E40" s="11">
        <v>70</v>
      </c>
      <c r="F40" s="110">
        <v>69.194442250149692</v>
      </c>
    </row>
    <row r="41" spans="2:8" ht="15" x14ac:dyDescent="0.25">
      <c r="B41" s="11" t="s">
        <v>202</v>
      </c>
      <c r="C41" s="31">
        <v>0.9</v>
      </c>
      <c r="D41" s="11">
        <v>1.2</v>
      </c>
      <c r="E41" s="11">
        <v>60</v>
      </c>
      <c r="F41" s="110">
        <v>58.688947682943642</v>
      </c>
    </row>
    <row r="42" spans="2:8" ht="15" x14ac:dyDescent="0.25">
      <c r="B42" s="11" t="s">
        <v>201</v>
      </c>
      <c r="C42" s="31">
        <v>0.9</v>
      </c>
      <c r="D42" s="11">
        <v>1.2</v>
      </c>
      <c r="E42" s="11">
        <v>40</v>
      </c>
      <c r="F42" s="110">
        <v>42.133573091233188</v>
      </c>
    </row>
    <row r="43" spans="2:8" ht="15" x14ac:dyDescent="0.25">
      <c r="B43" s="11" t="s">
        <v>200</v>
      </c>
      <c r="C43" s="31">
        <v>0.9</v>
      </c>
      <c r="D43" s="11">
        <v>1.2</v>
      </c>
      <c r="E43" s="11">
        <v>110</v>
      </c>
      <c r="F43" s="110">
        <v>103.74893691062348</v>
      </c>
    </row>
    <row r="44" spans="2:8" ht="15" x14ac:dyDescent="0.25">
      <c r="B44" s="11" t="s">
        <v>199</v>
      </c>
      <c r="C44" s="31">
        <v>0.9</v>
      </c>
      <c r="D44" s="11">
        <v>1.2</v>
      </c>
      <c r="E44" s="11">
        <v>2300</v>
      </c>
      <c r="F44" s="110">
        <v>2375.6993077625343</v>
      </c>
      <c r="H44" s="75"/>
    </row>
    <row r="45" spans="2:8" ht="15" x14ac:dyDescent="0.25">
      <c r="B45" s="11" t="s">
        <v>198</v>
      </c>
      <c r="C45" s="31">
        <v>0.9</v>
      </c>
      <c r="D45" s="11">
        <v>1.2</v>
      </c>
      <c r="E45" s="11">
        <v>1600</v>
      </c>
      <c r="F45" s="110">
        <v>1687.5250060700414</v>
      </c>
    </row>
    <row r="46" spans="2:8" ht="15" x14ac:dyDescent="0.25">
      <c r="B46" s="11" t="s">
        <v>197</v>
      </c>
      <c r="C46" s="31">
        <v>0.9</v>
      </c>
      <c r="D46" s="11">
        <v>1.2</v>
      </c>
      <c r="E46" s="11">
        <v>72</v>
      </c>
      <c r="F46" s="110">
        <v>74.880598545126574</v>
      </c>
    </row>
    <row r="47" spans="2:8" ht="15" x14ac:dyDescent="0.25">
      <c r="B47" s="11" t="s">
        <v>196</v>
      </c>
      <c r="C47" s="31">
        <v>0.9</v>
      </c>
      <c r="D47" s="11">
        <v>1.2</v>
      </c>
      <c r="E47" s="11">
        <v>64</v>
      </c>
      <c r="F47" s="110">
        <v>69.748703576646349</v>
      </c>
    </row>
    <row r="48" spans="2:8" ht="15" x14ac:dyDescent="0.25">
      <c r="B48" s="11" t="s">
        <v>195</v>
      </c>
      <c r="C48" s="31">
        <v>0.9</v>
      </c>
      <c r="D48" s="11">
        <v>1.2</v>
      </c>
      <c r="E48" s="11">
        <v>0.1</v>
      </c>
      <c r="F48" s="110">
        <v>0.11080812978557748</v>
      </c>
    </row>
    <row r="49" spans="2:8" ht="15" x14ac:dyDescent="0.25">
      <c r="B49" s="11" t="s">
        <v>194</v>
      </c>
      <c r="C49" s="31">
        <v>0.9</v>
      </c>
      <c r="D49" s="11">
        <v>1.2</v>
      </c>
      <c r="E49" s="11">
        <v>0.02</v>
      </c>
      <c r="F49" s="110">
        <v>1.9312402449116143E-2</v>
      </c>
      <c r="H49" s="75"/>
    </row>
    <row r="50" spans="2:8" ht="15" x14ac:dyDescent="0.25">
      <c r="B50" s="11" t="s">
        <v>193</v>
      </c>
      <c r="C50" s="31">
        <v>0.9</v>
      </c>
      <c r="D50" s="11">
        <v>1.2</v>
      </c>
      <c r="E50" s="11">
        <v>0.01</v>
      </c>
      <c r="F50" s="110">
        <v>1.0367934073692853E-2</v>
      </c>
    </row>
    <row r="51" spans="2:8" ht="15" x14ac:dyDescent="0.25">
      <c r="B51" s="11" t="s">
        <v>192</v>
      </c>
      <c r="C51" s="31">
        <v>0.9</v>
      </c>
      <c r="D51" s="11">
        <v>1.2</v>
      </c>
      <c r="E51" s="11">
        <v>5.0000000000000001E-3</v>
      </c>
      <c r="F51" s="110">
        <v>5.2101193128217963E-3</v>
      </c>
    </row>
    <row r="52" spans="2:8" ht="15" x14ac:dyDescent="0.25">
      <c r="B52" s="11" t="s">
        <v>191</v>
      </c>
      <c r="C52" s="31">
        <v>0.9</v>
      </c>
      <c r="D52" s="11">
        <v>1.2</v>
      </c>
      <c r="E52" s="11">
        <v>0.5</v>
      </c>
      <c r="F52" s="111">
        <v>0.54070939741778956</v>
      </c>
    </row>
    <row r="53" spans="2:8" ht="15" x14ac:dyDescent="0.25">
      <c r="B53" s="11" t="s">
        <v>190</v>
      </c>
      <c r="C53" s="31">
        <v>0.9</v>
      </c>
      <c r="D53" s="11">
        <v>1.2</v>
      </c>
      <c r="E53" s="11">
        <v>0.52</v>
      </c>
      <c r="F53" s="111">
        <v>0.59707459794453588</v>
      </c>
    </row>
    <row r="54" spans="2:8" ht="15" x14ac:dyDescent="0.25">
      <c r="B54" s="11" t="s">
        <v>189</v>
      </c>
      <c r="C54" s="31">
        <v>0.9</v>
      </c>
      <c r="D54" s="11">
        <v>1.2</v>
      </c>
      <c r="E54" s="11">
        <v>0.52</v>
      </c>
      <c r="F54" s="111">
        <v>0.5755206157611068</v>
      </c>
      <c r="H54" s="75"/>
    </row>
    <row r="55" spans="2:8" ht="15" x14ac:dyDescent="0.25">
      <c r="B55" s="11" t="s">
        <v>188</v>
      </c>
      <c r="C55" s="31">
        <v>0.9</v>
      </c>
      <c r="D55" s="11">
        <v>1.2</v>
      </c>
      <c r="E55" s="11">
        <v>0.51</v>
      </c>
      <c r="F55" s="111">
        <v>0.51696314215153916</v>
      </c>
    </row>
    <row r="56" spans="2:8" ht="15" x14ac:dyDescent="0.25">
      <c r="B56" s="11" t="s">
        <v>187</v>
      </c>
      <c r="C56" s="31">
        <v>0.9</v>
      </c>
      <c r="D56" s="11">
        <v>1.2</v>
      </c>
      <c r="E56" s="11">
        <v>0.51</v>
      </c>
      <c r="F56" s="111">
        <v>0.54624159260479932</v>
      </c>
    </row>
    <row r="57" spans="2:8" ht="15" x14ac:dyDescent="0.25">
      <c r="B57" s="11" t="s">
        <v>186</v>
      </c>
      <c r="C57" s="31">
        <v>0.9</v>
      </c>
      <c r="D57" s="11">
        <v>1.2</v>
      </c>
      <c r="E57" s="11">
        <v>0.53</v>
      </c>
      <c r="F57" s="111">
        <v>0.50352497628513826</v>
      </c>
    </row>
    <row r="58" spans="2:8" ht="15" x14ac:dyDescent="0.25">
      <c r="B58" s="11" t="s">
        <v>185</v>
      </c>
      <c r="C58" s="31">
        <v>0.9</v>
      </c>
      <c r="D58" s="11">
        <v>1.2</v>
      </c>
      <c r="E58" s="11">
        <v>0.5</v>
      </c>
      <c r="F58" s="111">
        <v>0.51088850967212962</v>
      </c>
    </row>
    <row r="59" spans="2:8" ht="15" x14ac:dyDescent="0.25">
      <c r="B59" s="11" t="s">
        <v>184</v>
      </c>
      <c r="C59" s="31">
        <v>0.9</v>
      </c>
      <c r="D59" s="11">
        <v>1.2</v>
      </c>
      <c r="E59" s="11">
        <v>0.52</v>
      </c>
      <c r="F59" s="111">
        <v>0.573116085224327</v>
      </c>
      <c r="H59" s="75"/>
    </row>
    <row r="60" spans="2:8" ht="15" x14ac:dyDescent="0.25">
      <c r="B60" s="11" t="s">
        <v>183</v>
      </c>
      <c r="C60" s="31">
        <v>0.9</v>
      </c>
      <c r="D60" s="11">
        <v>1.2</v>
      </c>
      <c r="E60" s="11">
        <v>0.52</v>
      </c>
      <c r="F60" s="111">
        <v>0.55793829001156525</v>
      </c>
    </row>
    <row r="61" spans="2:8" ht="15" x14ac:dyDescent="0.25">
      <c r="B61" s="11" t="s">
        <v>182</v>
      </c>
      <c r="C61" s="31">
        <v>0.9</v>
      </c>
      <c r="D61" s="11">
        <v>1.2</v>
      </c>
      <c r="E61" s="11">
        <v>0.51</v>
      </c>
      <c r="F61" s="111">
        <v>0.52617998013726441</v>
      </c>
    </row>
    <row r="62" spans="2:8" ht="15" x14ac:dyDescent="0.25">
      <c r="B62" s="11" t="s">
        <v>181</v>
      </c>
      <c r="C62" s="31">
        <v>0.9</v>
      </c>
      <c r="D62" s="11">
        <v>1.2</v>
      </c>
      <c r="E62" s="11">
        <v>1.2</v>
      </c>
      <c r="F62" s="111">
        <v>1.1569022544371639</v>
      </c>
    </row>
    <row r="63" spans="2:8" ht="15" x14ac:dyDescent="0.25">
      <c r="B63" s="11" t="s">
        <v>180</v>
      </c>
      <c r="C63" s="31">
        <v>0.9</v>
      </c>
      <c r="D63" s="11">
        <v>1.2</v>
      </c>
      <c r="E63" s="11">
        <v>1.22</v>
      </c>
      <c r="F63" s="111">
        <v>1.2157264319967267</v>
      </c>
    </row>
    <row r="64" spans="2:8" ht="15" x14ac:dyDescent="0.25">
      <c r="B64" s="11" t="s">
        <v>179</v>
      </c>
      <c r="C64" s="31">
        <v>0.9</v>
      </c>
      <c r="D64" s="11">
        <v>1.2</v>
      </c>
      <c r="E64" s="11">
        <v>1.23</v>
      </c>
      <c r="F64" s="111">
        <v>1.2277163728091844</v>
      </c>
    </row>
    <row r="65" spans="2:8" ht="15" x14ac:dyDescent="0.25">
      <c r="B65" s="11" t="s">
        <v>178</v>
      </c>
      <c r="C65" s="31">
        <v>0.9</v>
      </c>
      <c r="D65" s="11">
        <v>1.2</v>
      </c>
      <c r="E65" s="11">
        <v>1.25</v>
      </c>
      <c r="F65" s="111">
        <v>1.241396451384057</v>
      </c>
    </row>
    <row r="66" spans="2:8" ht="15" x14ac:dyDescent="0.25">
      <c r="B66" s="11" t="s">
        <v>177</v>
      </c>
      <c r="C66" s="31">
        <v>0.9</v>
      </c>
      <c r="D66" s="11">
        <v>1.2</v>
      </c>
      <c r="E66" s="11">
        <v>1.23</v>
      </c>
      <c r="F66" s="111">
        <v>1.2397552291699516</v>
      </c>
    </row>
    <row r="67" spans="2:8" ht="15" x14ac:dyDescent="0.25">
      <c r="B67" s="11" t="s">
        <v>176</v>
      </c>
      <c r="C67" s="31">
        <v>0.9</v>
      </c>
      <c r="D67" s="11">
        <v>1.2</v>
      </c>
      <c r="E67" s="11">
        <v>1.22</v>
      </c>
      <c r="F67" s="111">
        <v>1.1637317032612233</v>
      </c>
      <c r="H67" s="75"/>
    </row>
    <row r="68" spans="2:8" ht="15" x14ac:dyDescent="0.25">
      <c r="B68" s="11" t="s">
        <v>175</v>
      </c>
      <c r="C68" s="31">
        <v>0.9</v>
      </c>
      <c r="D68" s="11">
        <v>1.2</v>
      </c>
      <c r="E68" s="11">
        <v>1.23</v>
      </c>
      <c r="F68" s="111">
        <v>1.4172302339537606</v>
      </c>
    </row>
    <row r="69" spans="2:8" ht="15" x14ac:dyDescent="0.25">
      <c r="B69" s="11" t="s">
        <v>174</v>
      </c>
      <c r="C69" s="31">
        <v>0.9</v>
      </c>
      <c r="D69" s="11">
        <v>1.2</v>
      </c>
      <c r="E69" s="11">
        <v>1.25</v>
      </c>
      <c r="F69" s="111">
        <v>1.193741371415266</v>
      </c>
    </row>
    <row r="70" spans="2:8" ht="15" x14ac:dyDescent="0.25">
      <c r="B70" s="11" t="s">
        <v>173</v>
      </c>
      <c r="C70" s="31">
        <v>0.9</v>
      </c>
      <c r="D70" s="11">
        <v>1.2</v>
      </c>
      <c r="E70" s="11">
        <v>1.23</v>
      </c>
      <c r="F70" s="111">
        <v>1.3066980466198683</v>
      </c>
    </row>
    <row r="71" spans="2:8" ht="15" x14ac:dyDescent="0.25">
      <c r="B71" s="11" t="s">
        <v>172</v>
      </c>
      <c r="C71" s="31">
        <v>0.9</v>
      </c>
      <c r="D71" s="11">
        <v>1.2</v>
      </c>
      <c r="E71" s="11">
        <v>1.24</v>
      </c>
      <c r="F71" s="111">
        <v>1.4099401659477759</v>
      </c>
    </row>
    <row r="72" spans="2:8" ht="15" x14ac:dyDescent="0.25">
      <c r="B72" s="11" t="s">
        <v>171</v>
      </c>
      <c r="C72" s="31">
        <v>0.9</v>
      </c>
      <c r="D72" s="11">
        <v>1.2</v>
      </c>
      <c r="E72" s="11">
        <v>720000</v>
      </c>
      <c r="F72" s="110">
        <v>813876.02048471489</v>
      </c>
      <c r="H72" s="75"/>
    </row>
    <row r="73" spans="2:8" ht="15" x14ac:dyDescent="0.25">
      <c r="B73" s="11" t="s">
        <v>170</v>
      </c>
      <c r="C73" s="31">
        <v>0.9</v>
      </c>
      <c r="D73" s="11">
        <v>1.2</v>
      </c>
      <c r="E73" s="11">
        <v>0.9</v>
      </c>
      <c r="F73" s="110">
        <v>0.88459431049789983</v>
      </c>
    </row>
    <row r="74" spans="2:8" ht="15" x14ac:dyDescent="0.25">
      <c r="B74" s="11" t="s">
        <v>169</v>
      </c>
      <c r="C74" s="31">
        <v>0.9</v>
      </c>
      <c r="D74" s="11">
        <v>1.2</v>
      </c>
      <c r="E74" s="11">
        <v>0.3</v>
      </c>
      <c r="F74" s="110">
        <v>0.29844665369540491</v>
      </c>
    </row>
    <row r="75" spans="2:8" ht="15" x14ac:dyDescent="0.25">
      <c r="B75" s="11" t="s">
        <v>168</v>
      </c>
      <c r="C75" s="31">
        <v>0.9</v>
      </c>
      <c r="D75" s="11">
        <v>1.2</v>
      </c>
      <c r="E75" s="11">
        <v>0.1</v>
      </c>
      <c r="F75" s="110">
        <v>0.10029895703322077</v>
      </c>
    </row>
    <row r="76" spans="2:8" ht="15" x14ac:dyDescent="0.25">
      <c r="B76" s="11" t="s">
        <v>167</v>
      </c>
      <c r="C76" s="31">
        <v>0.9</v>
      </c>
      <c r="D76" s="11">
        <v>1.2</v>
      </c>
      <c r="E76" s="11">
        <v>0.01</v>
      </c>
      <c r="F76" s="110">
        <v>9.7607132363839843E-3</v>
      </c>
    </row>
    <row r="77" spans="2:8" ht="15" x14ac:dyDescent="0.25">
      <c r="B77" s="11" t="s">
        <v>166</v>
      </c>
      <c r="C77" s="31">
        <v>0.9</v>
      </c>
      <c r="D77" s="11">
        <v>1.2</v>
      </c>
      <c r="E77" s="11">
        <v>60</v>
      </c>
      <c r="F77" s="110">
        <v>63.602847629666165</v>
      </c>
      <c r="H77" s="75"/>
    </row>
    <row r="78" spans="2:8" ht="15" x14ac:dyDescent="0.25">
      <c r="B78" s="11" t="s">
        <v>165</v>
      </c>
      <c r="C78" s="31">
        <v>0.9</v>
      </c>
      <c r="D78" s="11">
        <v>1.2</v>
      </c>
      <c r="E78" s="11">
        <v>0.1</v>
      </c>
      <c r="F78" s="110">
        <v>0.11548308832356864</v>
      </c>
    </row>
    <row r="79" spans="2:8" ht="15" x14ac:dyDescent="0.25">
      <c r="B79" s="9" t="s">
        <v>164</v>
      </c>
      <c r="C79" s="52">
        <v>0.9</v>
      </c>
      <c r="D79" s="9">
        <v>1.2</v>
      </c>
      <c r="E79" s="9">
        <v>0.04</v>
      </c>
      <c r="F79" s="110">
        <v>4.3878952532842838E-2</v>
      </c>
    </row>
    <row r="82" spans="2:12" ht="15.75" x14ac:dyDescent="0.25">
      <c r="B82" s="14" t="s">
        <v>163</v>
      </c>
    </row>
    <row r="84" spans="2:12" x14ac:dyDescent="0.2">
      <c r="B84" s="54"/>
      <c r="C84" s="56">
        <v>1</v>
      </c>
      <c r="D84" s="57">
        <v>2</v>
      </c>
      <c r="E84" s="56">
        <v>3</v>
      </c>
      <c r="F84" s="57">
        <v>4</v>
      </c>
      <c r="G84" s="56">
        <v>5</v>
      </c>
      <c r="H84" s="57">
        <v>6</v>
      </c>
      <c r="I84" s="56">
        <v>7</v>
      </c>
      <c r="J84" s="57">
        <v>8</v>
      </c>
      <c r="K84" s="56">
        <v>9</v>
      </c>
      <c r="L84" s="55">
        <v>10</v>
      </c>
    </row>
    <row r="85" spans="2:12" x14ac:dyDescent="0.2">
      <c r="B85" s="108" t="s">
        <v>162</v>
      </c>
      <c r="C85" s="36"/>
      <c r="D85" s="37"/>
      <c r="E85" s="36"/>
      <c r="F85" s="37"/>
      <c r="G85" s="36"/>
      <c r="H85" s="37"/>
      <c r="I85" s="36"/>
      <c r="J85" s="37"/>
      <c r="K85" s="36"/>
      <c r="L85" s="50"/>
    </row>
    <row r="86" spans="2:12" x14ac:dyDescent="0.2">
      <c r="B86" s="107" t="s">
        <v>158</v>
      </c>
      <c r="C86" s="91">
        <f>C87*$I$11</f>
        <v>2761.4524275069348</v>
      </c>
      <c r="D86" s="92">
        <f>D87*$I$11</f>
        <v>2761.4524275069348</v>
      </c>
      <c r="E86" s="91">
        <f>E87*$I$11</f>
        <v>2761.4524275069348</v>
      </c>
      <c r="F86" s="92">
        <f>F87*$I$11</f>
        <v>2761.4524275069348</v>
      </c>
      <c r="G86" s="91">
        <f>G87*$I$11</f>
        <v>2761.4524275069348</v>
      </c>
      <c r="H86" s="92">
        <f>H87*$I$11</f>
        <v>2761.4524275069348</v>
      </c>
      <c r="I86" s="91">
        <f>I87*$I$11</f>
        <v>2761.4524275069348</v>
      </c>
      <c r="J86" s="92">
        <f>J87*$I$11</f>
        <v>2761.4524275069348</v>
      </c>
      <c r="K86" s="91">
        <f>K87*$I$11</f>
        <v>2761.4524275069348</v>
      </c>
      <c r="L86" s="109">
        <f>L87*$I$11</f>
        <v>2761.4524275069348</v>
      </c>
    </row>
    <row r="87" spans="2:12" x14ac:dyDescent="0.2">
      <c r="B87" s="103" t="s">
        <v>161</v>
      </c>
      <c r="C87" s="101">
        <f>$I$8*$I$9/365</f>
        <v>1972.4660196478108</v>
      </c>
      <c r="D87" s="102">
        <f>$I$8*$I$9/365</f>
        <v>1972.4660196478108</v>
      </c>
      <c r="E87" s="101">
        <f>$I$8*$I$9/365</f>
        <v>1972.4660196478108</v>
      </c>
      <c r="F87" s="102">
        <f>$I$8*$I$9/365</f>
        <v>1972.4660196478108</v>
      </c>
      <c r="G87" s="101">
        <f>$I$8*$I$9/365</f>
        <v>1972.4660196478108</v>
      </c>
      <c r="H87" s="102">
        <f>$I$8*$I$9/365</f>
        <v>1972.4660196478108</v>
      </c>
      <c r="I87" s="101">
        <f>$I$8*$I$9/365</f>
        <v>1972.4660196478108</v>
      </c>
      <c r="J87" s="102">
        <f>$I$8*$I$9/365</f>
        <v>1972.4660196478108</v>
      </c>
      <c r="K87" s="101">
        <f>$I$8*$I$9/365</f>
        <v>1972.4660196478108</v>
      </c>
      <c r="L87" s="100">
        <f>$I$8*$I$9/365</f>
        <v>1972.4660196478108</v>
      </c>
    </row>
    <row r="88" spans="2:12" x14ac:dyDescent="0.2">
      <c r="B88" s="108" t="s">
        <v>160</v>
      </c>
      <c r="C88" s="36"/>
      <c r="D88" s="37"/>
      <c r="E88" s="36"/>
      <c r="F88" s="37"/>
      <c r="G88" s="36"/>
      <c r="H88" s="37"/>
      <c r="I88" s="36"/>
      <c r="J88" s="37"/>
      <c r="K88" s="36"/>
      <c r="L88" s="50"/>
    </row>
    <row r="89" spans="2:12" x14ac:dyDescent="0.2">
      <c r="B89" s="107" t="s">
        <v>159</v>
      </c>
      <c r="C89" s="105">
        <f>C90*$I$10</f>
        <v>3534.6591072088768</v>
      </c>
      <c r="D89" s="106">
        <f>D90*$I$10</f>
        <v>3534.6591072088768</v>
      </c>
      <c r="E89" s="105">
        <f>E90*$I$10</f>
        <v>3534.6591072088768</v>
      </c>
      <c r="F89" s="106">
        <f>F90*$I$10</f>
        <v>3534.6591072088768</v>
      </c>
      <c r="G89" s="105">
        <f>G90*$I$10</f>
        <v>3534.6591072088768</v>
      </c>
      <c r="H89" s="106">
        <f>H90*$I$10</f>
        <v>3534.6591072088768</v>
      </c>
      <c r="I89" s="105">
        <f>I90*$I$10</f>
        <v>3534.6591072088768</v>
      </c>
      <c r="J89" s="106">
        <f>J90*$I$10</f>
        <v>3534.6591072088768</v>
      </c>
      <c r="K89" s="105">
        <f>K90*$I$10</f>
        <v>3534.6591072088768</v>
      </c>
      <c r="L89" s="104">
        <f>L90*$I$10</f>
        <v>3534.6591072088768</v>
      </c>
    </row>
    <row r="90" spans="2:12" x14ac:dyDescent="0.2">
      <c r="B90" s="103" t="s">
        <v>158</v>
      </c>
      <c r="C90" s="101">
        <f>C86</f>
        <v>2761.4524275069348</v>
      </c>
      <c r="D90" s="102">
        <f>D86</f>
        <v>2761.4524275069348</v>
      </c>
      <c r="E90" s="101">
        <f>E86</f>
        <v>2761.4524275069348</v>
      </c>
      <c r="F90" s="102">
        <f>F86</f>
        <v>2761.4524275069348</v>
      </c>
      <c r="G90" s="101">
        <f>G86</f>
        <v>2761.4524275069348</v>
      </c>
      <c r="H90" s="102">
        <f>H86</f>
        <v>2761.4524275069348</v>
      </c>
      <c r="I90" s="101">
        <f>I86</f>
        <v>2761.4524275069348</v>
      </c>
      <c r="J90" s="102">
        <f>J86</f>
        <v>2761.4524275069348</v>
      </c>
      <c r="K90" s="101">
        <f>K86</f>
        <v>2761.4524275069348</v>
      </c>
      <c r="L90" s="100">
        <f>L86</f>
        <v>2761.4524275069348</v>
      </c>
    </row>
    <row r="92" spans="2:12" ht="15.75" x14ac:dyDescent="0.2">
      <c r="B92" s="99" t="s">
        <v>157</v>
      </c>
    </row>
    <row r="94" spans="2:12" x14ac:dyDescent="0.2">
      <c r="B94" s="54"/>
      <c r="C94" s="56">
        <v>1</v>
      </c>
      <c r="D94" s="57">
        <v>2</v>
      </c>
      <c r="E94" s="56">
        <v>3</v>
      </c>
      <c r="F94" s="57">
        <v>4</v>
      </c>
      <c r="G94" s="56">
        <v>5</v>
      </c>
      <c r="H94" s="57">
        <v>6</v>
      </c>
      <c r="I94" s="56">
        <v>7</v>
      </c>
      <c r="J94" s="57">
        <v>8</v>
      </c>
      <c r="K94" s="56">
        <v>9</v>
      </c>
      <c r="L94" s="56">
        <v>10</v>
      </c>
    </row>
    <row r="95" spans="2:12" ht="13.5" x14ac:dyDescent="0.25">
      <c r="B95" s="98" t="s">
        <v>156</v>
      </c>
      <c r="C95" s="96">
        <f>C87</f>
        <v>1972.4660196478108</v>
      </c>
      <c r="D95" s="97">
        <f>D87</f>
        <v>1972.4660196478108</v>
      </c>
      <c r="E95" s="96">
        <f>E87</f>
        <v>1972.4660196478108</v>
      </c>
      <c r="F95" s="97">
        <f>F87</f>
        <v>1972.4660196478108</v>
      </c>
      <c r="G95" s="96">
        <f>G87</f>
        <v>1972.4660196478108</v>
      </c>
      <c r="H95" s="97">
        <f>H87</f>
        <v>1972.4660196478108</v>
      </c>
      <c r="I95" s="96">
        <f>I87</f>
        <v>1972.4660196478108</v>
      </c>
      <c r="J95" s="97">
        <f>J87</f>
        <v>1972.4660196478108</v>
      </c>
      <c r="K95" s="96">
        <f>K87</f>
        <v>1972.4660196478108</v>
      </c>
      <c r="L95" s="96">
        <f>L87</f>
        <v>1972.4660196478108</v>
      </c>
    </row>
    <row r="96" spans="2:12" ht="13.5" x14ac:dyDescent="0.25">
      <c r="B96" s="93" t="s">
        <v>155</v>
      </c>
      <c r="C96" s="94">
        <f>C20</f>
        <v>1.1569022544371639</v>
      </c>
      <c r="D96" s="95">
        <f>D20</f>
        <v>1.2157264319967267</v>
      </c>
      <c r="E96" s="94">
        <f>E20</f>
        <v>1.2277163728091844</v>
      </c>
      <c r="F96" s="95">
        <f>F20</f>
        <v>1.241396451384057</v>
      </c>
      <c r="G96" s="94">
        <f>G20</f>
        <v>1.2397552291699516</v>
      </c>
      <c r="H96" s="95">
        <f>H20</f>
        <v>1.1637317032612233</v>
      </c>
      <c r="I96" s="94">
        <f>I20</f>
        <v>1.4172302339537606</v>
      </c>
      <c r="J96" s="95">
        <f>J20</f>
        <v>1.193741371415266</v>
      </c>
      <c r="K96" s="94">
        <f>K20</f>
        <v>1.3066980466198683</v>
      </c>
      <c r="L96" s="94">
        <f>L20</f>
        <v>1.4099401659477759</v>
      </c>
    </row>
    <row r="97" spans="2:12" ht="13.5" x14ac:dyDescent="0.25">
      <c r="B97" s="93" t="s">
        <v>130</v>
      </c>
      <c r="C97" s="91">
        <f>C95*C96</f>
        <v>2281.9503849312514</v>
      </c>
      <c r="D97" s="92">
        <f>D95*D96</f>
        <v>2397.9790763012184</v>
      </c>
      <c r="E97" s="91">
        <f>E95*E96</f>
        <v>2421.6288271313797</v>
      </c>
      <c r="F97" s="92">
        <f>F95*F96</f>
        <v>2448.6123172664279</v>
      </c>
      <c r="G97" s="91">
        <f>G95*G96</f>
        <v>2445.3750622184139</v>
      </c>
      <c r="H97" s="92">
        <f>H95*H96</f>
        <v>2295.4212406696324</v>
      </c>
      <c r="I97" s="91">
        <f>I95*I96</f>
        <v>2795.4384784913095</v>
      </c>
      <c r="J97" s="92">
        <f>J95*J96</f>
        <v>2354.6142913643889</v>
      </c>
      <c r="K97" s="91">
        <f>K95*K96</f>
        <v>2577.4174948978612</v>
      </c>
      <c r="L97" s="91">
        <f>L95*L96</f>
        <v>2781.0590670685833</v>
      </c>
    </row>
    <row r="98" spans="2:12" ht="13.5" x14ac:dyDescent="0.25">
      <c r="B98" s="90" t="s">
        <v>128</v>
      </c>
      <c r="C98" s="88">
        <f>C97*365/1000</f>
        <v>832.91189049990669</v>
      </c>
      <c r="D98" s="89">
        <f>D97*365/1000</f>
        <v>875.26236284994479</v>
      </c>
      <c r="E98" s="88">
        <f>E97*365/1000</f>
        <v>883.89452190295367</v>
      </c>
      <c r="F98" s="89">
        <f>F97*365/1000</f>
        <v>893.74349580224612</v>
      </c>
      <c r="G98" s="88">
        <f>G97*365/1000</f>
        <v>892.56189770972105</v>
      </c>
      <c r="H98" s="89">
        <f>H97*365/1000</f>
        <v>837.82875284441582</v>
      </c>
      <c r="I98" s="88">
        <f>I97*365/1000</f>
        <v>1020.335044649328</v>
      </c>
      <c r="J98" s="89">
        <f>J97*365/1000</f>
        <v>859.434216348002</v>
      </c>
      <c r="K98" s="88">
        <f>K97*365/1000</f>
        <v>940.75738563771927</v>
      </c>
      <c r="L98" s="88">
        <f>L97*365/1000</f>
        <v>1015.0865594800329</v>
      </c>
    </row>
    <row r="100" spans="2:12" ht="15.75" x14ac:dyDescent="0.25">
      <c r="B100" s="14" t="s">
        <v>154</v>
      </c>
    </row>
    <row r="102" spans="2:12" x14ac:dyDescent="0.2">
      <c r="B102" s="58"/>
      <c r="C102" s="56">
        <v>1</v>
      </c>
      <c r="D102" s="57">
        <v>2</v>
      </c>
      <c r="E102" s="56">
        <v>3</v>
      </c>
      <c r="F102" s="57">
        <v>4</v>
      </c>
      <c r="G102" s="56">
        <v>5</v>
      </c>
      <c r="H102" s="57">
        <v>6</v>
      </c>
      <c r="I102" s="56">
        <v>7</v>
      </c>
      <c r="J102" s="57">
        <v>8</v>
      </c>
      <c r="K102" s="56">
        <v>9</v>
      </c>
      <c r="L102" s="55">
        <v>10</v>
      </c>
    </row>
    <row r="103" spans="2:12" x14ac:dyDescent="0.2">
      <c r="B103" s="38" t="s">
        <v>153</v>
      </c>
      <c r="C103" s="51"/>
      <c r="D103" s="82"/>
      <c r="E103" s="51"/>
      <c r="F103" s="82"/>
      <c r="G103" s="51"/>
      <c r="H103" s="82"/>
      <c r="I103" s="51"/>
      <c r="J103" s="82"/>
      <c r="K103" s="51"/>
      <c r="L103" s="81"/>
    </row>
    <row r="104" spans="2:12" x14ac:dyDescent="0.2">
      <c r="B104" s="80" t="s">
        <v>138</v>
      </c>
      <c r="C104" s="86">
        <f>C89</f>
        <v>3534.6591072088768</v>
      </c>
      <c r="D104" s="86">
        <f>D89</f>
        <v>3534.6591072088768</v>
      </c>
      <c r="E104" s="86">
        <f>E89</f>
        <v>3534.6591072088768</v>
      </c>
      <c r="F104" s="86">
        <f>F89</f>
        <v>3534.6591072088768</v>
      </c>
      <c r="G104" s="86">
        <f>G89</f>
        <v>3534.6591072088768</v>
      </c>
      <c r="H104" s="86">
        <f>H89</f>
        <v>3534.6591072088768</v>
      </c>
      <c r="I104" s="86">
        <f>I89</f>
        <v>3534.6591072088768</v>
      </c>
      <c r="J104" s="86">
        <f>J89</f>
        <v>3534.6591072088768</v>
      </c>
      <c r="K104" s="86">
        <f>K89</f>
        <v>3534.6591072088768</v>
      </c>
      <c r="L104" s="86">
        <f>L89</f>
        <v>3534.6591072088768</v>
      </c>
    </row>
    <row r="105" spans="2:12" x14ac:dyDescent="0.2">
      <c r="B105" s="80" t="s">
        <v>135</v>
      </c>
      <c r="C105" s="87">
        <f>C19</f>
        <v>0.54070939741778956</v>
      </c>
      <c r="D105" s="87">
        <f>D19</f>
        <v>0.59707459794453588</v>
      </c>
      <c r="E105" s="87">
        <f>E19</f>
        <v>0.5755206157611068</v>
      </c>
      <c r="F105" s="87">
        <f>F19</f>
        <v>0.51696314215153916</v>
      </c>
      <c r="G105" s="87">
        <f>G19</f>
        <v>0.54624159260479932</v>
      </c>
      <c r="H105" s="87">
        <f>H19</f>
        <v>0.50352497628513826</v>
      </c>
      <c r="I105" s="87">
        <f>I19</f>
        <v>0.51088850967212962</v>
      </c>
      <c r="J105" s="87">
        <f>J19</f>
        <v>0.573116085224327</v>
      </c>
      <c r="K105" s="87">
        <f>K19</f>
        <v>0.55793829001156525</v>
      </c>
      <c r="L105" s="87">
        <f>L19</f>
        <v>0.52617998013726441</v>
      </c>
    </row>
    <row r="106" spans="2:12" x14ac:dyDescent="0.2">
      <c r="B106" s="80" t="s">
        <v>130</v>
      </c>
      <c r="C106" s="86">
        <f>C105*C104</f>
        <v>1911.2233959362138</v>
      </c>
      <c r="D106" s="86">
        <f>D105*D104</f>
        <v>2110.4551653077324</v>
      </c>
      <c r="E106" s="86">
        <f>E105*E104</f>
        <v>2034.2691858864569</v>
      </c>
      <c r="F106" s="86">
        <f>F105*F104</f>
        <v>1827.288478497255</v>
      </c>
      <c r="G106" s="86">
        <f>G105*G104</f>
        <v>1930.777820036835</v>
      </c>
      <c r="H106" s="86">
        <f>H105*H104</f>
        <v>1779.7891431333976</v>
      </c>
      <c r="I106" s="86">
        <f>I105*I104</f>
        <v>1805.8167234809632</v>
      </c>
      <c r="J106" s="86">
        <f>J105*J104</f>
        <v>2025.7699901260662</v>
      </c>
      <c r="K106" s="86">
        <f>K105*K104</f>
        <v>1972.1216580499265</v>
      </c>
      <c r="L106" s="86">
        <f>L105*L104</f>
        <v>1859.8668588231676</v>
      </c>
    </row>
    <row r="107" spans="2:12" x14ac:dyDescent="0.2">
      <c r="B107" s="78" t="s">
        <v>128</v>
      </c>
      <c r="C107" s="83">
        <f>C106*365/1000</f>
        <v>697.59653951671805</v>
      </c>
      <c r="D107" s="83">
        <f>D106*365/1000</f>
        <v>770.31613533732241</v>
      </c>
      <c r="E107" s="83">
        <f>E106*365/1000</f>
        <v>742.50825284855671</v>
      </c>
      <c r="F107" s="83">
        <f>F106*365/1000</f>
        <v>666.96029465149809</v>
      </c>
      <c r="G107" s="83">
        <f>G106*365/1000</f>
        <v>704.73390431344478</v>
      </c>
      <c r="H107" s="83">
        <f>H106*365/1000</f>
        <v>649.62303724369008</v>
      </c>
      <c r="I107" s="83">
        <f>I106*365/1000</f>
        <v>659.12310407055156</v>
      </c>
      <c r="J107" s="83">
        <f>J106*365/1000</f>
        <v>739.40604639601418</v>
      </c>
      <c r="K107" s="83">
        <f>K106*365/1000</f>
        <v>719.82440518822318</v>
      </c>
      <c r="L107" s="83">
        <f>L106*365/1000</f>
        <v>678.85140347045615</v>
      </c>
    </row>
    <row r="108" spans="2:12" x14ac:dyDescent="0.2">
      <c r="B108" s="38" t="s">
        <v>112</v>
      </c>
      <c r="C108" s="51"/>
      <c r="D108" s="82"/>
      <c r="E108" s="51"/>
      <c r="F108" s="82"/>
      <c r="G108" s="51"/>
      <c r="H108" s="82"/>
      <c r="I108" s="51"/>
      <c r="J108" s="82"/>
      <c r="K108" s="51"/>
      <c r="L108" s="81"/>
    </row>
    <row r="109" spans="2:12" x14ac:dyDescent="0.2">
      <c r="B109" s="80" t="s">
        <v>138</v>
      </c>
      <c r="C109" s="85">
        <f>C90</f>
        <v>2761.4524275069348</v>
      </c>
      <c r="D109" s="85">
        <f>D90</f>
        <v>2761.4524275069348</v>
      </c>
      <c r="E109" s="85">
        <f>E90</f>
        <v>2761.4524275069348</v>
      </c>
      <c r="F109" s="85">
        <f>F90</f>
        <v>2761.4524275069348</v>
      </c>
      <c r="G109" s="85">
        <f>G90</f>
        <v>2761.4524275069348</v>
      </c>
      <c r="H109" s="85">
        <f>H90</f>
        <v>2761.4524275069348</v>
      </c>
      <c r="I109" s="85">
        <f>I90</f>
        <v>2761.4524275069348</v>
      </c>
      <c r="J109" s="85">
        <f>J90</f>
        <v>2761.4524275069348</v>
      </c>
      <c r="K109" s="85">
        <f>K90</f>
        <v>2761.4524275069348</v>
      </c>
      <c r="L109" s="85">
        <f>L90</f>
        <v>2761.4524275069348</v>
      </c>
    </row>
    <row r="110" spans="2:12" x14ac:dyDescent="0.2">
      <c r="B110" s="80" t="s">
        <v>150</v>
      </c>
      <c r="C110" s="79">
        <f>$C$14</f>
        <v>42.133573091233188</v>
      </c>
      <c r="D110" s="79">
        <f>$C$14</f>
        <v>42.133573091233188</v>
      </c>
      <c r="E110" s="79">
        <f>$C$14</f>
        <v>42.133573091233188</v>
      </c>
      <c r="F110" s="79">
        <f>$C$14</f>
        <v>42.133573091233188</v>
      </c>
      <c r="G110" s="79">
        <f>$C$14</f>
        <v>42.133573091233188</v>
      </c>
      <c r="H110" s="79">
        <f>$C$14</f>
        <v>42.133573091233188</v>
      </c>
      <c r="I110" s="79">
        <f>$C$14</f>
        <v>42.133573091233188</v>
      </c>
      <c r="J110" s="79">
        <f>$C$14</f>
        <v>42.133573091233188</v>
      </c>
      <c r="K110" s="79">
        <f>$C$14</f>
        <v>42.133573091233188</v>
      </c>
      <c r="L110" s="79">
        <f>$C$14</f>
        <v>42.133573091233188</v>
      </c>
    </row>
    <row r="111" spans="2:12" x14ac:dyDescent="0.2">
      <c r="B111" s="80" t="s">
        <v>130</v>
      </c>
      <c r="C111" s="86">
        <f>C110*C109/1000</f>
        <v>116.34985769232675</v>
      </c>
      <c r="D111" s="86">
        <f>D110*D109/1000</f>
        <v>116.34985769232675</v>
      </c>
      <c r="E111" s="86">
        <f>E110*E109/1000</f>
        <v>116.34985769232675</v>
      </c>
      <c r="F111" s="86">
        <f>F110*F109/1000</f>
        <v>116.34985769232675</v>
      </c>
      <c r="G111" s="86">
        <f>G110*G109/1000</f>
        <v>116.34985769232675</v>
      </c>
      <c r="H111" s="86">
        <f>H110*H109/1000</f>
        <v>116.34985769232675</v>
      </c>
      <c r="I111" s="86">
        <f>I110*I109/1000</f>
        <v>116.34985769232675</v>
      </c>
      <c r="J111" s="86">
        <f>J110*J109/1000</f>
        <v>116.34985769232675</v>
      </c>
      <c r="K111" s="86">
        <f>K110*K109/1000</f>
        <v>116.34985769232675</v>
      </c>
      <c r="L111" s="86">
        <f>L110*L109/1000</f>
        <v>116.34985769232675</v>
      </c>
    </row>
    <row r="112" spans="2:12" x14ac:dyDescent="0.2">
      <c r="B112" s="78" t="s">
        <v>128</v>
      </c>
      <c r="C112" s="83">
        <f>C111*365/1000</f>
        <v>42.467698057699266</v>
      </c>
      <c r="D112" s="83">
        <f>D111*365/1000</f>
        <v>42.467698057699266</v>
      </c>
      <c r="E112" s="83">
        <f>E111*365/1000</f>
        <v>42.467698057699266</v>
      </c>
      <c r="F112" s="83">
        <f>F111*365/1000</f>
        <v>42.467698057699266</v>
      </c>
      <c r="G112" s="83">
        <f>G111*365/1000</f>
        <v>42.467698057699266</v>
      </c>
      <c r="H112" s="83">
        <f>H111*365/1000</f>
        <v>42.467698057699266</v>
      </c>
      <c r="I112" s="83">
        <f>I111*365/1000</f>
        <v>42.467698057699266</v>
      </c>
      <c r="J112" s="83">
        <f>J111*365/1000</f>
        <v>42.467698057699266</v>
      </c>
      <c r="K112" s="83">
        <f>K111*365/1000</f>
        <v>42.467698057699266</v>
      </c>
      <c r="L112" s="83">
        <f>L111*365/1000</f>
        <v>42.467698057699266</v>
      </c>
    </row>
    <row r="113" spans="2:12" x14ac:dyDescent="0.2">
      <c r="B113" s="38" t="s">
        <v>149</v>
      </c>
      <c r="C113" s="51"/>
      <c r="D113" s="82"/>
      <c r="E113" s="51"/>
      <c r="F113" s="82"/>
      <c r="G113" s="51"/>
      <c r="H113" s="82"/>
      <c r="I113" s="51"/>
      <c r="J113" s="82"/>
      <c r="K113" s="51"/>
      <c r="L113" s="81"/>
    </row>
    <row r="114" spans="2:12" x14ac:dyDescent="0.2">
      <c r="B114" s="80" t="s">
        <v>148</v>
      </c>
      <c r="C114" s="85">
        <f>$D$14/1000</f>
        <v>2.3756993077625341</v>
      </c>
      <c r="D114" s="85">
        <f>$D$14/1000</f>
        <v>2.3756993077625341</v>
      </c>
      <c r="E114" s="85">
        <f>$D$14/1000</f>
        <v>2.3756993077625341</v>
      </c>
      <c r="F114" s="85">
        <f>$D$14/1000</f>
        <v>2.3756993077625341</v>
      </c>
      <c r="G114" s="85">
        <f>$D$14/1000</f>
        <v>2.3756993077625341</v>
      </c>
      <c r="H114" s="85">
        <f>$D$14/1000</f>
        <v>2.3756993077625341</v>
      </c>
      <c r="I114" s="85">
        <f>$D$14/1000</f>
        <v>2.3756993077625341</v>
      </c>
      <c r="J114" s="85">
        <f>$D$14/1000</f>
        <v>2.3756993077625341</v>
      </c>
      <c r="K114" s="85">
        <f>$D$14/1000</f>
        <v>2.3756993077625341</v>
      </c>
      <c r="L114" s="85">
        <f>$D$14/1000</f>
        <v>2.3756993077625341</v>
      </c>
    </row>
    <row r="115" spans="2:12" x14ac:dyDescent="0.2">
      <c r="B115" s="80" t="s">
        <v>147</v>
      </c>
      <c r="C115" s="85">
        <f>$I$13*$C$8</f>
        <v>7.6673067372952328</v>
      </c>
      <c r="D115" s="85">
        <f>$I$13*$C$8</f>
        <v>7.6673067372952328</v>
      </c>
      <c r="E115" s="85">
        <f>$I$13*$C$8</f>
        <v>7.6673067372952328</v>
      </c>
      <c r="F115" s="85">
        <f>$I$13*$C$8</f>
        <v>7.6673067372952328</v>
      </c>
      <c r="G115" s="85">
        <f>$I$13*$C$8</f>
        <v>7.6673067372952328</v>
      </c>
      <c r="H115" s="85">
        <f>$I$13*$C$8</f>
        <v>7.6673067372952328</v>
      </c>
      <c r="I115" s="85">
        <f>$I$13*$C$8</f>
        <v>7.6673067372952328</v>
      </c>
      <c r="J115" s="85">
        <f>$I$13*$C$8</f>
        <v>7.6673067372952328</v>
      </c>
      <c r="K115" s="85">
        <f>$I$13*$C$8</f>
        <v>7.6673067372952328</v>
      </c>
      <c r="L115" s="85">
        <f>$I$13*$C$8</f>
        <v>7.6673067372952328</v>
      </c>
    </row>
    <row r="116" spans="2:12" x14ac:dyDescent="0.2">
      <c r="B116" s="80" t="s">
        <v>146</v>
      </c>
      <c r="C116" s="79">
        <f>$I$14*$C$8</f>
        <v>1.3363109159770163</v>
      </c>
      <c r="D116" s="79">
        <f>$I$14*$C$8</f>
        <v>1.3363109159770163</v>
      </c>
      <c r="E116" s="79">
        <f>$I$14*$C$8</f>
        <v>1.3363109159770163</v>
      </c>
      <c r="F116" s="79">
        <f>$I$14*$C$8</f>
        <v>1.3363109159770163</v>
      </c>
      <c r="G116" s="79">
        <f>$I$14*$C$8</f>
        <v>1.3363109159770163</v>
      </c>
      <c r="H116" s="79">
        <f>$I$14*$C$8</f>
        <v>1.3363109159770163</v>
      </c>
      <c r="I116" s="79">
        <f>$I$14*$C$8</f>
        <v>1.3363109159770163</v>
      </c>
      <c r="J116" s="79">
        <f>$I$14*$C$8</f>
        <v>1.3363109159770163</v>
      </c>
      <c r="K116" s="79">
        <f>$I$14*$C$8</f>
        <v>1.3363109159770163</v>
      </c>
      <c r="L116" s="79">
        <f>$I$14*$C$8</f>
        <v>1.3363109159770163</v>
      </c>
    </row>
    <row r="117" spans="2:12" x14ac:dyDescent="0.2">
      <c r="B117" s="84" t="s">
        <v>145</v>
      </c>
      <c r="C117" s="83">
        <f>SUM(C114:C116)</f>
        <v>11.379316961034784</v>
      </c>
      <c r="D117" s="83">
        <f>SUM(D114:D116)</f>
        <v>11.379316961034784</v>
      </c>
      <c r="E117" s="83">
        <f>SUM(E114:E116)</f>
        <v>11.379316961034784</v>
      </c>
      <c r="F117" s="83">
        <f>SUM(F114:F116)</f>
        <v>11.379316961034784</v>
      </c>
      <c r="G117" s="83">
        <f>SUM(G114:G116)</f>
        <v>11.379316961034784</v>
      </c>
      <c r="H117" s="83">
        <f>SUM(H114:H116)</f>
        <v>11.379316961034784</v>
      </c>
      <c r="I117" s="83">
        <f>SUM(I114:I116)</f>
        <v>11.379316961034784</v>
      </c>
      <c r="J117" s="83">
        <f>SUM(J114:J116)</f>
        <v>11.379316961034784</v>
      </c>
      <c r="K117" s="83">
        <f>SUM(K114:K116)</f>
        <v>11.379316961034784</v>
      </c>
      <c r="L117" s="83">
        <f>SUM(L114:L116)</f>
        <v>11.379316961034784</v>
      </c>
    </row>
    <row r="118" spans="2:12" x14ac:dyDescent="0.2">
      <c r="B118" s="38" t="s">
        <v>144</v>
      </c>
      <c r="C118" s="51"/>
      <c r="D118" s="82"/>
      <c r="E118" s="51"/>
      <c r="F118" s="82"/>
      <c r="G118" s="51"/>
      <c r="H118" s="82"/>
      <c r="I118" s="51"/>
      <c r="J118" s="82"/>
      <c r="K118" s="51"/>
      <c r="L118" s="81"/>
    </row>
    <row r="119" spans="2:12" x14ac:dyDescent="0.2">
      <c r="B119" s="80" t="s">
        <v>128</v>
      </c>
      <c r="C119" s="79">
        <f>C107+C112+C117</f>
        <v>751.44355453545211</v>
      </c>
      <c r="D119" s="79">
        <f>D107+D112+D117</f>
        <v>824.16315035605646</v>
      </c>
      <c r="E119" s="79">
        <f>E107+E112+E117</f>
        <v>796.35526786729076</v>
      </c>
      <c r="F119" s="79">
        <f>F107+F112+F117</f>
        <v>720.80730967023214</v>
      </c>
      <c r="G119" s="79">
        <f>G107+G112+G117</f>
        <v>758.58091933217884</v>
      </c>
      <c r="H119" s="79">
        <f>H107+H112+H117</f>
        <v>703.47005226242413</v>
      </c>
      <c r="I119" s="79">
        <f>I107+I112+I117</f>
        <v>712.97011908928562</v>
      </c>
      <c r="J119" s="79">
        <f>J107+J112+J117</f>
        <v>793.25306141474823</v>
      </c>
      <c r="K119" s="79">
        <f>K107+K112+K117</f>
        <v>773.67142020695724</v>
      </c>
      <c r="L119" s="79">
        <f>L107+L112+L117</f>
        <v>732.6984184891902</v>
      </c>
    </row>
    <row r="120" spans="2:12" x14ac:dyDescent="0.2">
      <c r="B120" s="80" t="s">
        <v>130</v>
      </c>
      <c r="C120" s="79">
        <f>C119*1000/365</f>
        <v>2058.7494644806907</v>
      </c>
      <c r="D120" s="79">
        <f>D119*1000/365</f>
        <v>2257.9812338522097</v>
      </c>
      <c r="E120" s="79">
        <f>E119*1000/365</f>
        <v>2181.7952544309337</v>
      </c>
      <c r="F120" s="79">
        <f>F119*1000/365</f>
        <v>1974.8145470417319</v>
      </c>
      <c r="G120" s="79">
        <f>G119*1000/365</f>
        <v>2078.3038885813121</v>
      </c>
      <c r="H120" s="79">
        <f>H119*1000/365</f>
        <v>1927.3152116778745</v>
      </c>
      <c r="I120" s="79">
        <f>I119*1000/365</f>
        <v>1953.3427920254401</v>
      </c>
      <c r="J120" s="79">
        <f>J119*1000/365</f>
        <v>2173.2960586705431</v>
      </c>
      <c r="K120" s="79">
        <f>K119*1000/365</f>
        <v>2119.6477265944036</v>
      </c>
      <c r="L120" s="79">
        <f>L119*1000/365</f>
        <v>2007.3929273676442</v>
      </c>
    </row>
    <row r="121" spans="2:12" x14ac:dyDescent="0.2">
      <c r="B121" s="78" t="s">
        <v>135</v>
      </c>
      <c r="C121" s="77">
        <f>C120/C109</f>
        <v>0.74553138919700634</v>
      </c>
      <c r="D121" s="77">
        <f>D120/D109</f>
        <v>0.81767884587124184</v>
      </c>
      <c r="E121" s="77">
        <f>E120/E109</f>
        <v>0.79008974867645243</v>
      </c>
      <c r="F121" s="77">
        <f>F120/F109</f>
        <v>0.7151361824562058</v>
      </c>
      <c r="G121" s="77">
        <f>G120/G109</f>
        <v>0.752612599036379</v>
      </c>
      <c r="H121" s="77">
        <f>H120/H109</f>
        <v>0.69793533014721265</v>
      </c>
      <c r="I121" s="77">
        <f>I120/I109</f>
        <v>0.70736065288256167</v>
      </c>
      <c r="J121" s="77">
        <f>J120/J109</f>
        <v>0.78701194958937426</v>
      </c>
      <c r="K121" s="77">
        <f>K120/K109</f>
        <v>0.7675843717170393</v>
      </c>
      <c r="L121" s="77">
        <f>L120/L109</f>
        <v>0.72693373507793413</v>
      </c>
    </row>
    <row r="123" spans="2:12" ht="15.75" x14ac:dyDescent="0.25">
      <c r="B123" s="14" t="s">
        <v>152</v>
      </c>
    </row>
    <row r="125" spans="2:12" x14ac:dyDescent="0.2">
      <c r="B125" s="58"/>
      <c r="C125" s="56">
        <v>1</v>
      </c>
      <c r="D125" s="57">
        <v>2</v>
      </c>
      <c r="E125" s="56">
        <v>3</v>
      </c>
      <c r="F125" s="57">
        <v>4</v>
      </c>
      <c r="G125" s="56">
        <v>5</v>
      </c>
      <c r="H125" s="57">
        <v>6</v>
      </c>
      <c r="I125" s="56">
        <v>7</v>
      </c>
      <c r="J125" s="57">
        <v>8</v>
      </c>
      <c r="K125" s="56">
        <v>9</v>
      </c>
      <c r="L125" s="55">
        <v>10</v>
      </c>
    </row>
    <row r="126" spans="2:12" x14ac:dyDescent="0.2">
      <c r="B126" s="38" t="s">
        <v>151</v>
      </c>
      <c r="C126" s="51"/>
      <c r="D126" s="82"/>
      <c r="E126" s="51"/>
      <c r="F126" s="82"/>
      <c r="G126" s="51"/>
      <c r="H126" s="82"/>
      <c r="I126" s="51"/>
      <c r="J126" s="82"/>
      <c r="K126" s="51"/>
      <c r="L126" s="81"/>
    </row>
    <row r="127" spans="2:12" x14ac:dyDescent="0.2">
      <c r="B127" s="80" t="s">
        <v>138</v>
      </c>
      <c r="C127" s="86">
        <f>C90</f>
        <v>2761.4524275069348</v>
      </c>
      <c r="D127" s="86">
        <f>D90</f>
        <v>2761.4524275069348</v>
      </c>
      <c r="E127" s="86">
        <f>E90</f>
        <v>2761.4524275069348</v>
      </c>
      <c r="F127" s="86">
        <f>F90</f>
        <v>2761.4524275069348</v>
      </c>
      <c r="G127" s="86">
        <f>G90</f>
        <v>2761.4524275069348</v>
      </c>
      <c r="H127" s="86">
        <f>H90</f>
        <v>2761.4524275069348</v>
      </c>
      <c r="I127" s="86">
        <f>I90</f>
        <v>2761.4524275069348</v>
      </c>
      <c r="J127" s="86">
        <f>J90</f>
        <v>2761.4524275069348</v>
      </c>
      <c r="K127" s="86">
        <f>K90</f>
        <v>2761.4524275069348</v>
      </c>
      <c r="L127" s="86">
        <f>L90</f>
        <v>2761.4524275069348</v>
      </c>
    </row>
    <row r="128" spans="2:12" x14ac:dyDescent="0.2">
      <c r="B128" s="80" t="s">
        <v>135</v>
      </c>
      <c r="C128" s="87">
        <f>C121</f>
        <v>0.74553138919700634</v>
      </c>
      <c r="D128" s="87">
        <f>D121</f>
        <v>0.81767884587124184</v>
      </c>
      <c r="E128" s="87">
        <f>E121</f>
        <v>0.79008974867645243</v>
      </c>
      <c r="F128" s="87">
        <f>F121</f>
        <v>0.7151361824562058</v>
      </c>
      <c r="G128" s="87">
        <f>G121</f>
        <v>0.752612599036379</v>
      </c>
      <c r="H128" s="87">
        <f>H121</f>
        <v>0.69793533014721265</v>
      </c>
      <c r="I128" s="87">
        <f>I121</f>
        <v>0.70736065288256167</v>
      </c>
      <c r="J128" s="87">
        <f>J121</f>
        <v>0.78701194958937426</v>
      </c>
      <c r="K128" s="87">
        <f>K121</f>
        <v>0.7675843717170393</v>
      </c>
      <c r="L128" s="87">
        <f>L121</f>
        <v>0.72693373507793413</v>
      </c>
    </row>
    <row r="129" spans="2:12" x14ac:dyDescent="0.2">
      <c r="B129" s="80" t="s">
        <v>130</v>
      </c>
      <c r="C129" s="86">
        <f>C128*C127</f>
        <v>2058.7494644806907</v>
      </c>
      <c r="D129" s="86">
        <f>D128*D127</f>
        <v>2257.9812338522097</v>
      </c>
      <c r="E129" s="86">
        <f>E128*E127</f>
        <v>2181.7952544309337</v>
      </c>
      <c r="F129" s="86">
        <f>F128*F127</f>
        <v>1974.8145470417317</v>
      </c>
      <c r="G129" s="86">
        <f>G128*G127</f>
        <v>2078.3038885813121</v>
      </c>
      <c r="H129" s="86">
        <f>H128*H127</f>
        <v>1927.3152116778742</v>
      </c>
      <c r="I129" s="86">
        <f>I128*I127</f>
        <v>1953.3427920254401</v>
      </c>
      <c r="J129" s="86">
        <f>J128*J127</f>
        <v>2173.2960586705431</v>
      </c>
      <c r="K129" s="86">
        <f>K128*K127</f>
        <v>2119.6477265944036</v>
      </c>
      <c r="L129" s="86">
        <f>L128*L127</f>
        <v>2007.3929273676442</v>
      </c>
    </row>
    <row r="130" spans="2:12" x14ac:dyDescent="0.2">
      <c r="B130" s="78" t="s">
        <v>128</v>
      </c>
      <c r="C130" s="83">
        <f>C129*365/1000</f>
        <v>751.44355453545199</v>
      </c>
      <c r="D130" s="83">
        <f>D129*365/1000</f>
        <v>824.16315035605646</v>
      </c>
      <c r="E130" s="83">
        <f>E129*365/1000</f>
        <v>796.35526786729076</v>
      </c>
      <c r="F130" s="83">
        <f>F129*365/1000</f>
        <v>720.80730967023203</v>
      </c>
      <c r="G130" s="83">
        <f>G129*365/1000</f>
        <v>758.58091933217884</v>
      </c>
      <c r="H130" s="83">
        <f>H129*365/1000</f>
        <v>703.47005226242413</v>
      </c>
      <c r="I130" s="83">
        <f>I129*365/1000</f>
        <v>712.97011908928562</v>
      </c>
      <c r="J130" s="83">
        <f>J129*365/1000</f>
        <v>793.25306141474823</v>
      </c>
      <c r="K130" s="83">
        <f>K129*365/1000</f>
        <v>773.67142020695724</v>
      </c>
      <c r="L130" s="83">
        <f>L129*365/1000</f>
        <v>732.6984184891902</v>
      </c>
    </row>
    <row r="131" spans="2:12" x14ac:dyDescent="0.2">
      <c r="B131" s="38" t="s">
        <v>112</v>
      </c>
      <c r="C131" s="51"/>
      <c r="D131" s="82"/>
      <c r="E131" s="51"/>
      <c r="F131" s="82"/>
      <c r="G131" s="51"/>
      <c r="H131" s="82"/>
      <c r="I131" s="51"/>
      <c r="J131" s="82"/>
      <c r="K131" s="51"/>
      <c r="L131" s="81"/>
    </row>
    <row r="132" spans="2:12" x14ac:dyDescent="0.2">
      <c r="B132" s="80" t="s">
        <v>138</v>
      </c>
      <c r="C132" s="85">
        <f>C87</f>
        <v>1972.4660196478108</v>
      </c>
      <c r="D132" s="85">
        <f>D87</f>
        <v>1972.4660196478108</v>
      </c>
      <c r="E132" s="85">
        <f>E87</f>
        <v>1972.4660196478108</v>
      </c>
      <c r="F132" s="85">
        <f>F87</f>
        <v>1972.4660196478108</v>
      </c>
      <c r="G132" s="85">
        <f>G87</f>
        <v>1972.4660196478108</v>
      </c>
      <c r="H132" s="85">
        <f>H87</f>
        <v>1972.4660196478108</v>
      </c>
      <c r="I132" s="85">
        <f>I87</f>
        <v>1972.4660196478108</v>
      </c>
      <c r="J132" s="85">
        <f>J87</f>
        <v>1972.4660196478108</v>
      </c>
      <c r="K132" s="85">
        <f>K87</f>
        <v>1972.4660196478108</v>
      </c>
      <c r="L132" s="85">
        <f>L87</f>
        <v>1972.4660196478108</v>
      </c>
    </row>
    <row r="133" spans="2:12" x14ac:dyDescent="0.2">
      <c r="B133" s="80" t="s">
        <v>150</v>
      </c>
      <c r="C133" s="79">
        <f>$C$15</f>
        <v>103.74893691062348</v>
      </c>
      <c r="D133" s="79">
        <f>$C$15</f>
        <v>103.74893691062348</v>
      </c>
      <c r="E133" s="79">
        <f>$C$15</f>
        <v>103.74893691062348</v>
      </c>
      <c r="F133" s="79">
        <f>$C$15</f>
        <v>103.74893691062348</v>
      </c>
      <c r="G133" s="79">
        <f>$C$15</f>
        <v>103.74893691062348</v>
      </c>
      <c r="H133" s="79">
        <f>$C$15</f>
        <v>103.74893691062348</v>
      </c>
      <c r="I133" s="79">
        <f>$C$15</f>
        <v>103.74893691062348</v>
      </c>
      <c r="J133" s="79">
        <f>$C$15</f>
        <v>103.74893691062348</v>
      </c>
      <c r="K133" s="79">
        <f>$C$15</f>
        <v>103.74893691062348</v>
      </c>
      <c r="L133" s="79">
        <f>$C$15</f>
        <v>103.74893691062348</v>
      </c>
    </row>
    <row r="134" spans="2:12" x14ac:dyDescent="0.2">
      <c r="B134" s="80" t="s">
        <v>130</v>
      </c>
      <c r="C134" s="86">
        <f>C133*C132/1000</f>
        <v>204.64125263078932</v>
      </c>
      <c r="D134" s="86">
        <f>D133*D132/1000</f>
        <v>204.64125263078932</v>
      </c>
      <c r="E134" s="86">
        <f>E133*E132/1000</f>
        <v>204.64125263078932</v>
      </c>
      <c r="F134" s="86">
        <f>F133*F132/1000</f>
        <v>204.64125263078932</v>
      </c>
      <c r="G134" s="86">
        <f>G133*G132/1000</f>
        <v>204.64125263078932</v>
      </c>
      <c r="H134" s="86">
        <f>H133*H132/1000</f>
        <v>204.64125263078932</v>
      </c>
      <c r="I134" s="86">
        <f>I133*I132/1000</f>
        <v>204.64125263078932</v>
      </c>
      <c r="J134" s="86">
        <f>J133*J132/1000</f>
        <v>204.64125263078932</v>
      </c>
      <c r="K134" s="86">
        <f>K133*K132/1000</f>
        <v>204.64125263078932</v>
      </c>
      <c r="L134" s="86">
        <f>L133*L132/1000</f>
        <v>204.64125263078932</v>
      </c>
    </row>
    <row r="135" spans="2:12" x14ac:dyDescent="0.2">
      <c r="B135" s="78" t="s">
        <v>128</v>
      </c>
      <c r="C135" s="83">
        <f>C134*365/1000</f>
        <v>74.6940572102381</v>
      </c>
      <c r="D135" s="83">
        <f>D134*365/1000</f>
        <v>74.6940572102381</v>
      </c>
      <c r="E135" s="83">
        <f>E134*365/1000</f>
        <v>74.6940572102381</v>
      </c>
      <c r="F135" s="83">
        <f>F134*365/1000</f>
        <v>74.6940572102381</v>
      </c>
      <c r="G135" s="83">
        <f>G134*365/1000</f>
        <v>74.6940572102381</v>
      </c>
      <c r="H135" s="83">
        <f>H134*365/1000</f>
        <v>74.6940572102381</v>
      </c>
      <c r="I135" s="83">
        <f>I134*365/1000</f>
        <v>74.6940572102381</v>
      </c>
      <c r="J135" s="83">
        <f>J134*365/1000</f>
        <v>74.6940572102381</v>
      </c>
      <c r="K135" s="83">
        <f>K134*365/1000</f>
        <v>74.6940572102381</v>
      </c>
      <c r="L135" s="83">
        <f>L134*365/1000</f>
        <v>74.6940572102381</v>
      </c>
    </row>
    <row r="136" spans="2:12" x14ac:dyDescent="0.2">
      <c r="B136" s="38" t="s">
        <v>149</v>
      </c>
      <c r="C136" s="51"/>
      <c r="D136" s="82"/>
      <c r="E136" s="51"/>
      <c r="F136" s="82"/>
      <c r="G136" s="51"/>
      <c r="H136" s="82"/>
      <c r="I136" s="51"/>
      <c r="J136" s="82"/>
      <c r="K136" s="51"/>
      <c r="L136" s="81"/>
    </row>
    <row r="137" spans="2:12" x14ac:dyDescent="0.2">
      <c r="B137" s="80" t="s">
        <v>148</v>
      </c>
      <c r="C137" s="85">
        <f>$D$15/1000</f>
        <v>1.6875250060700413</v>
      </c>
      <c r="D137" s="85">
        <f>$D$15/1000</f>
        <v>1.6875250060700413</v>
      </c>
      <c r="E137" s="85">
        <f>$D$15/1000</f>
        <v>1.6875250060700413</v>
      </c>
      <c r="F137" s="85">
        <f>$D$15/1000</f>
        <v>1.6875250060700413</v>
      </c>
      <c r="G137" s="85">
        <f>$D$15/1000</f>
        <v>1.6875250060700413</v>
      </c>
      <c r="H137" s="85">
        <f>$D$15/1000</f>
        <v>1.6875250060700413</v>
      </c>
      <c r="I137" s="85">
        <f>$D$15/1000</f>
        <v>1.6875250060700413</v>
      </c>
      <c r="J137" s="85">
        <f>$D$15/1000</f>
        <v>1.6875250060700413</v>
      </c>
      <c r="K137" s="85">
        <f>$D$15/1000</f>
        <v>1.6875250060700413</v>
      </c>
      <c r="L137" s="85">
        <f>$D$15/1000</f>
        <v>1.6875250060700413</v>
      </c>
    </row>
    <row r="138" spans="2:12" x14ac:dyDescent="0.2">
      <c r="B138" s="80" t="s">
        <v>147</v>
      </c>
      <c r="C138" s="85">
        <f>$I$13*$C$9</f>
        <v>6.5032125318305862</v>
      </c>
      <c r="D138" s="85">
        <f>$I$13*$C$9</f>
        <v>6.5032125318305862</v>
      </c>
      <c r="E138" s="85">
        <f>$I$13*$C$9</f>
        <v>6.5032125318305862</v>
      </c>
      <c r="F138" s="85">
        <f>$I$13*$C$9</f>
        <v>6.5032125318305862</v>
      </c>
      <c r="G138" s="85">
        <f>$I$13*$C$9</f>
        <v>6.5032125318305862</v>
      </c>
      <c r="H138" s="85">
        <f>$I$13*$C$9</f>
        <v>6.5032125318305862</v>
      </c>
      <c r="I138" s="85">
        <f>$I$13*$C$9</f>
        <v>6.5032125318305862</v>
      </c>
      <c r="J138" s="85">
        <f>$I$13*$C$9</f>
        <v>6.5032125318305862</v>
      </c>
      <c r="K138" s="85">
        <f>$I$13*$C$9</f>
        <v>6.5032125318305862</v>
      </c>
      <c r="L138" s="85">
        <f>$I$13*$C$9</f>
        <v>6.5032125318305862</v>
      </c>
    </row>
    <row r="139" spans="2:12" x14ac:dyDescent="0.2">
      <c r="B139" s="80" t="s">
        <v>146</v>
      </c>
      <c r="C139" s="79">
        <f>$I$14*$C$9</f>
        <v>1.1334245769681299</v>
      </c>
      <c r="D139" s="79">
        <f>$I$14*$C$9</f>
        <v>1.1334245769681299</v>
      </c>
      <c r="E139" s="79">
        <f>$I$14*$C$9</f>
        <v>1.1334245769681299</v>
      </c>
      <c r="F139" s="79">
        <f>$I$14*$C$9</f>
        <v>1.1334245769681299</v>
      </c>
      <c r="G139" s="79">
        <f>$I$14*$C$9</f>
        <v>1.1334245769681299</v>
      </c>
      <c r="H139" s="79">
        <f>$I$14*$C$9</f>
        <v>1.1334245769681299</v>
      </c>
      <c r="I139" s="79">
        <f>$I$14*$C$9</f>
        <v>1.1334245769681299</v>
      </c>
      <c r="J139" s="79">
        <f>$I$14*$C$9</f>
        <v>1.1334245769681299</v>
      </c>
      <c r="K139" s="79">
        <f>$I$14*$C$9</f>
        <v>1.1334245769681299</v>
      </c>
      <c r="L139" s="79">
        <f>$I$14*$C$9</f>
        <v>1.1334245769681299</v>
      </c>
    </row>
    <row r="140" spans="2:12" x14ac:dyDescent="0.2">
      <c r="B140" s="84" t="s">
        <v>145</v>
      </c>
      <c r="C140" s="83">
        <f>SUM(C137:C139)</f>
        <v>9.3241621148687575</v>
      </c>
      <c r="D140" s="83">
        <f>SUM(D137:D139)</f>
        <v>9.3241621148687575</v>
      </c>
      <c r="E140" s="83">
        <f>SUM(E137:E139)</f>
        <v>9.3241621148687575</v>
      </c>
      <c r="F140" s="83">
        <f>SUM(F137:F139)</f>
        <v>9.3241621148687575</v>
      </c>
      <c r="G140" s="83">
        <f>SUM(G137:G139)</f>
        <v>9.3241621148687575</v>
      </c>
      <c r="H140" s="83">
        <f>SUM(H137:H139)</f>
        <v>9.3241621148687575</v>
      </c>
      <c r="I140" s="83">
        <f>SUM(I137:I139)</f>
        <v>9.3241621148687575</v>
      </c>
      <c r="J140" s="83">
        <f>SUM(J137:J139)</f>
        <v>9.3241621148687575</v>
      </c>
      <c r="K140" s="83">
        <f>SUM(K137:K139)</f>
        <v>9.3241621148687575</v>
      </c>
      <c r="L140" s="83">
        <f>SUM(L137:L139)</f>
        <v>9.3241621148687575</v>
      </c>
    </row>
    <row r="141" spans="2:12" x14ac:dyDescent="0.2">
      <c r="B141" s="38" t="s">
        <v>144</v>
      </c>
      <c r="C141" s="51"/>
      <c r="D141" s="82"/>
      <c r="E141" s="51"/>
      <c r="F141" s="82"/>
      <c r="G141" s="51"/>
      <c r="H141" s="82"/>
      <c r="I141" s="51"/>
      <c r="J141" s="82"/>
      <c r="K141" s="51"/>
      <c r="L141" s="81"/>
    </row>
    <row r="142" spans="2:12" x14ac:dyDescent="0.2">
      <c r="B142" s="80" t="s">
        <v>128</v>
      </c>
      <c r="C142" s="79">
        <f>C130+C135+C140</f>
        <v>835.46177386055876</v>
      </c>
      <c r="D142" s="79">
        <f>D130+D135+D140</f>
        <v>908.18136968116335</v>
      </c>
      <c r="E142" s="79">
        <f>E130+E135+E140</f>
        <v>880.37348719239765</v>
      </c>
      <c r="F142" s="79">
        <f>F130+F135+F140</f>
        <v>804.82552899533891</v>
      </c>
      <c r="G142" s="79">
        <f>G130+G135+G140</f>
        <v>842.59913865728561</v>
      </c>
      <c r="H142" s="79">
        <f>H130+H135+H140</f>
        <v>787.4882715875309</v>
      </c>
      <c r="I142" s="79">
        <f>I130+I135+I140</f>
        <v>796.98833841439239</v>
      </c>
      <c r="J142" s="79">
        <f>J130+J135+J140</f>
        <v>877.27128073985511</v>
      </c>
      <c r="K142" s="79">
        <f>K130+K135+K140</f>
        <v>857.68963953206401</v>
      </c>
      <c r="L142" s="79">
        <f>L130+L135+L140</f>
        <v>816.71663781429709</v>
      </c>
    </row>
    <row r="143" spans="2:12" x14ac:dyDescent="0.2">
      <c r="B143" s="80" t="s">
        <v>130</v>
      </c>
      <c r="C143" s="79">
        <f>C142*1000/365</f>
        <v>2288.9363667412567</v>
      </c>
      <c r="D143" s="79">
        <f>D142*1000/365</f>
        <v>2488.1681361127762</v>
      </c>
      <c r="E143" s="79">
        <f>E142*1000/365</f>
        <v>2411.9821566915007</v>
      </c>
      <c r="F143" s="79">
        <f>F142*1000/365</f>
        <v>2205.0014493022986</v>
      </c>
      <c r="G143" s="79">
        <f>G142*1000/365</f>
        <v>2308.4907908418782</v>
      </c>
      <c r="H143" s="79">
        <f>H142*1000/365</f>
        <v>2157.5021139384407</v>
      </c>
      <c r="I143" s="79">
        <f>I142*1000/365</f>
        <v>2183.5296942860068</v>
      </c>
      <c r="J143" s="79">
        <f>J142*1000/365</f>
        <v>2403.48296093111</v>
      </c>
      <c r="K143" s="79">
        <f>K142*1000/365</f>
        <v>2349.8346288549697</v>
      </c>
      <c r="L143" s="79">
        <f>L142*1000/365</f>
        <v>2237.5798296282114</v>
      </c>
    </row>
    <row r="144" spans="2:12" x14ac:dyDescent="0.2">
      <c r="B144" s="78" t="s">
        <v>135</v>
      </c>
      <c r="C144" s="77">
        <f>C143/C132</f>
        <v>1.1604440045816113</v>
      </c>
      <c r="D144" s="77">
        <f>D143/D132</f>
        <v>1.2614504439255412</v>
      </c>
      <c r="E144" s="77">
        <f>E143/E132</f>
        <v>1.2228257078528364</v>
      </c>
      <c r="F144" s="77">
        <f>F143/F132</f>
        <v>1.117890715144491</v>
      </c>
      <c r="G144" s="77">
        <f>G143/G132</f>
        <v>1.170357698356733</v>
      </c>
      <c r="H144" s="77">
        <f>H143/H132</f>
        <v>1.0938095219119002</v>
      </c>
      <c r="I144" s="77">
        <f>I143/I132</f>
        <v>1.107004973741389</v>
      </c>
      <c r="J144" s="77">
        <f>J143/J132</f>
        <v>1.2185167891309268</v>
      </c>
      <c r="K144" s="77">
        <f>K143/K132</f>
        <v>1.1913181801096575</v>
      </c>
      <c r="L144" s="77">
        <f>L143/L132</f>
        <v>1.1344072888149108</v>
      </c>
    </row>
    <row r="146" spans="2:14" ht="15.75" x14ac:dyDescent="0.2">
      <c r="B146" s="76" t="s">
        <v>143</v>
      </c>
    </row>
    <row r="148" spans="2:14" x14ac:dyDescent="0.2">
      <c r="B148" s="58"/>
      <c r="C148" s="56">
        <v>1</v>
      </c>
      <c r="D148" s="57">
        <v>2</v>
      </c>
      <c r="E148" s="56">
        <v>3</v>
      </c>
      <c r="F148" s="57">
        <v>4</v>
      </c>
      <c r="G148" s="56">
        <v>5</v>
      </c>
      <c r="H148" s="57">
        <v>6</v>
      </c>
      <c r="I148" s="56">
        <v>7</v>
      </c>
      <c r="J148" s="57">
        <v>8</v>
      </c>
      <c r="K148" s="56">
        <v>9</v>
      </c>
      <c r="L148" s="55">
        <v>10</v>
      </c>
    </row>
    <row r="149" spans="2:14" ht="15" x14ac:dyDescent="0.25">
      <c r="B149" s="69" t="s">
        <v>142</v>
      </c>
      <c r="C149" s="5"/>
      <c r="D149" s="7"/>
      <c r="E149" s="5"/>
      <c r="F149" s="7"/>
      <c r="G149" s="5"/>
      <c r="H149" s="7"/>
      <c r="I149" s="5"/>
      <c r="J149" s="7"/>
      <c r="K149" s="5"/>
      <c r="L149" s="49"/>
    </row>
    <row r="150" spans="2:14" x14ac:dyDescent="0.2">
      <c r="B150" s="31" t="s">
        <v>141</v>
      </c>
      <c r="C150" s="11"/>
      <c r="E150" s="11"/>
      <c r="G150" s="11"/>
      <c r="I150" s="11"/>
      <c r="K150" s="11"/>
      <c r="L150" s="19"/>
    </row>
    <row r="151" spans="2:14" x14ac:dyDescent="0.2">
      <c r="B151" s="32" t="s">
        <v>138</v>
      </c>
      <c r="C151" s="71">
        <f>C89</f>
        <v>3534.6591072088768</v>
      </c>
      <c r="D151" s="72">
        <f>D89</f>
        <v>3534.6591072088768</v>
      </c>
      <c r="E151" s="71">
        <f>E89</f>
        <v>3534.6591072088768</v>
      </c>
      <c r="F151" s="72">
        <f>F89</f>
        <v>3534.6591072088768</v>
      </c>
      <c r="G151" s="71">
        <f>G89</f>
        <v>3534.6591072088768</v>
      </c>
      <c r="H151" s="72">
        <f>H89</f>
        <v>3534.6591072088768</v>
      </c>
      <c r="I151" s="71">
        <f>I89</f>
        <v>3534.6591072088768</v>
      </c>
      <c r="J151" s="72">
        <f>J89</f>
        <v>3534.6591072088768</v>
      </c>
      <c r="K151" s="71">
        <f>K89</f>
        <v>3534.6591072088768</v>
      </c>
      <c r="L151" s="70">
        <f>L89</f>
        <v>3534.6591072088768</v>
      </c>
    </row>
    <row r="152" spans="2:14" x14ac:dyDescent="0.2">
      <c r="B152" s="32" t="s">
        <v>137</v>
      </c>
      <c r="C152" s="71">
        <f>C151/$I$9</f>
        <v>3995.7967909824902</v>
      </c>
      <c r="D152" s="72">
        <f>D151/$I$9</f>
        <v>3995.7967909824902</v>
      </c>
      <c r="E152" s="71">
        <f>E151/$I$9</f>
        <v>3995.7967909824902</v>
      </c>
      <c r="F152" s="72">
        <f>F151/$I$9</f>
        <v>3995.7967909824902</v>
      </c>
      <c r="G152" s="71">
        <f>G151/$I$9</f>
        <v>3995.7967909824902</v>
      </c>
      <c r="H152" s="72">
        <f>H151/$I$9</f>
        <v>3995.7967909824902</v>
      </c>
      <c r="I152" s="71">
        <f>I151/$I$9</f>
        <v>3995.7967909824902</v>
      </c>
      <c r="J152" s="72">
        <f>J151/$I$9</f>
        <v>3995.7967909824902</v>
      </c>
      <c r="K152" s="71">
        <f>K151/$I$9</f>
        <v>3995.7967909824902</v>
      </c>
      <c r="L152" s="70">
        <f>L151/$I$9</f>
        <v>3995.7967909824902</v>
      </c>
    </row>
    <row r="153" spans="2:14" x14ac:dyDescent="0.2">
      <c r="B153" s="32" t="s">
        <v>136</v>
      </c>
      <c r="C153" s="71">
        <f>C152*30/1000</f>
        <v>119.8739037294747</v>
      </c>
      <c r="D153" s="72">
        <f>D152*30/1000</f>
        <v>119.8739037294747</v>
      </c>
      <c r="E153" s="71">
        <f>E152*30/1000</f>
        <v>119.8739037294747</v>
      </c>
      <c r="F153" s="72">
        <f>F152*30/1000</f>
        <v>119.8739037294747</v>
      </c>
      <c r="G153" s="71">
        <f>G152*30/1000</f>
        <v>119.8739037294747</v>
      </c>
      <c r="H153" s="72">
        <f>H152*30/1000</f>
        <v>119.8739037294747</v>
      </c>
      <c r="I153" s="71">
        <f>I152*30/1000</f>
        <v>119.8739037294747</v>
      </c>
      <c r="J153" s="72">
        <f>J152*30/1000</f>
        <v>119.8739037294747</v>
      </c>
      <c r="K153" s="71">
        <f>K152*30/1000</f>
        <v>119.8739037294747</v>
      </c>
      <c r="L153" s="70">
        <f>L152*30/1000</f>
        <v>119.8739037294747</v>
      </c>
    </row>
    <row r="154" spans="2:14" x14ac:dyDescent="0.2">
      <c r="B154" s="32" t="s">
        <v>135</v>
      </c>
      <c r="C154" s="10">
        <f>C19</f>
        <v>0.54070939741778956</v>
      </c>
      <c r="D154" s="75">
        <f>D19</f>
        <v>0.59707459794453588</v>
      </c>
      <c r="E154" s="10">
        <f>E19</f>
        <v>0.5755206157611068</v>
      </c>
      <c r="F154" s="75">
        <f>F19</f>
        <v>0.51696314215153916</v>
      </c>
      <c r="G154" s="10">
        <f>G19</f>
        <v>0.54624159260479932</v>
      </c>
      <c r="H154" s="75">
        <f>H19</f>
        <v>0.50352497628513826</v>
      </c>
      <c r="I154" s="10">
        <f>I19</f>
        <v>0.51088850967212962</v>
      </c>
      <c r="J154" s="75">
        <f>J19</f>
        <v>0.573116085224327</v>
      </c>
      <c r="K154" s="10">
        <f>K19</f>
        <v>0.55793829001156525</v>
      </c>
      <c r="L154" s="74">
        <f>L19</f>
        <v>0.52617998013726441</v>
      </c>
    </row>
    <row r="155" spans="2:14" x14ac:dyDescent="0.2">
      <c r="B155" s="32" t="s">
        <v>128</v>
      </c>
      <c r="C155" s="12">
        <f>C154*C153</f>
        <v>64.816946251682381</v>
      </c>
      <c r="D155" s="29">
        <f>D154*D153</f>
        <v>71.573662873318113</v>
      </c>
      <c r="E155" s="12">
        <f>E154*E153</f>
        <v>68.989902888074923</v>
      </c>
      <c r="F155" s="29">
        <f>F154*F153</f>
        <v>61.970389933960355</v>
      </c>
      <c r="G155" s="12">
        <f>G154*G153</f>
        <v>65.480112084942661</v>
      </c>
      <c r="H155" s="29">
        <f>H154*H153</f>
        <v>60.359504532590698</v>
      </c>
      <c r="I155" s="12">
        <f>I154*I153</f>
        <v>61.24220002493167</v>
      </c>
      <c r="J155" s="29">
        <f>J154*J153</f>
        <v>68.7016624259944</v>
      </c>
      <c r="K155" s="12">
        <f>K154*K153</f>
        <v>66.882240863834113</v>
      </c>
      <c r="L155" s="34">
        <f>L154*L153</f>
        <v>63.07524828335135</v>
      </c>
    </row>
    <row r="156" spans="2:14" x14ac:dyDescent="0.2">
      <c r="B156" s="31" t="s">
        <v>140</v>
      </c>
      <c r="C156" s="11"/>
      <c r="E156" s="11"/>
      <c r="G156" s="11"/>
      <c r="I156" s="11"/>
      <c r="K156" s="11"/>
      <c r="L156" s="19"/>
    </row>
    <row r="157" spans="2:14" x14ac:dyDescent="0.2">
      <c r="B157" s="32" t="s">
        <v>138</v>
      </c>
      <c r="C157" s="11">
        <f>C86</f>
        <v>2761.4524275069348</v>
      </c>
      <c r="D157">
        <f>D86</f>
        <v>2761.4524275069348</v>
      </c>
      <c r="E157" s="11">
        <f>E86</f>
        <v>2761.4524275069348</v>
      </c>
      <c r="F157">
        <f>F86</f>
        <v>2761.4524275069348</v>
      </c>
      <c r="G157" s="11">
        <f>G86</f>
        <v>2761.4524275069348</v>
      </c>
      <c r="H157">
        <f>H86</f>
        <v>2761.4524275069348</v>
      </c>
      <c r="I157" s="11">
        <f>I86</f>
        <v>2761.4524275069348</v>
      </c>
      <c r="J157">
        <f>J86</f>
        <v>2761.4524275069348</v>
      </c>
      <c r="K157" s="11">
        <f>K86</f>
        <v>2761.4524275069348</v>
      </c>
      <c r="L157" s="19">
        <f>L86</f>
        <v>2761.4524275069348</v>
      </c>
    </row>
    <row r="158" spans="2:14" x14ac:dyDescent="0.2">
      <c r="B158" s="32" t="s">
        <v>137</v>
      </c>
      <c r="C158" s="11">
        <f>C157/$I$9</f>
        <v>3121.7162429550704</v>
      </c>
      <c r="D158">
        <f>D157/$I$9</f>
        <v>3121.7162429550704</v>
      </c>
      <c r="E158" s="11">
        <f>E157/$I$9</f>
        <v>3121.7162429550704</v>
      </c>
      <c r="F158">
        <f>F157/$I$9</f>
        <v>3121.7162429550704</v>
      </c>
      <c r="G158" s="11">
        <f>G157/$I$9</f>
        <v>3121.7162429550704</v>
      </c>
      <c r="H158">
        <f>H157/$I$9</f>
        <v>3121.7162429550704</v>
      </c>
      <c r="I158" s="11">
        <f>I157/$I$9</f>
        <v>3121.7162429550704</v>
      </c>
      <c r="J158">
        <f>J157/$I$9</f>
        <v>3121.7162429550704</v>
      </c>
      <c r="K158" s="11">
        <f>K157/$I$9</f>
        <v>3121.7162429550704</v>
      </c>
      <c r="L158" s="19">
        <f>L157/$I$9</f>
        <v>3121.7162429550704</v>
      </c>
    </row>
    <row r="159" spans="2:14" x14ac:dyDescent="0.2">
      <c r="B159" s="32" t="s">
        <v>136</v>
      </c>
      <c r="C159" s="11">
        <f>C158*10/1000</f>
        <v>31.217162429550704</v>
      </c>
      <c r="D159">
        <f>D158*10/1000</f>
        <v>31.217162429550704</v>
      </c>
      <c r="E159" s="11">
        <f>E158*10/1000</f>
        <v>31.217162429550704</v>
      </c>
      <c r="F159">
        <f>F158*10/1000</f>
        <v>31.217162429550704</v>
      </c>
      <c r="G159" s="11">
        <f>G158*10/1000</f>
        <v>31.217162429550704</v>
      </c>
      <c r="H159">
        <f>H158*10/1000</f>
        <v>31.217162429550704</v>
      </c>
      <c r="I159" s="11">
        <f>I158*10/1000</f>
        <v>31.217162429550704</v>
      </c>
      <c r="J159">
        <f>J158*10/1000</f>
        <v>31.217162429550704</v>
      </c>
      <c r="K159" s="11">
        <f>K158*10/1000</f>
        <v>31.217162429550704</v>
      </c>
      <c r="L159" s="19">
        <f>L158*10/1000</f>
        <v>31.217162429550704</v>
      </c>
      <c r="N159" s="29"/>
    </row>
    <row r="160" spans="2:14" x14ac:dyDescent="0.2">
      <c r="B160" s="32" t="s">
        <v>135</v>
      </c>
      <c r="C160" s="10">
        <f>C121</f>
        <v>0.74553138919700634</v>
      </c>
      <c r="D160" s="75">
        <f>D121</f>
        <v>0.81767884587124184</v>
      </c>
      <c r="E160" s="10">
        <f>E121</f>
        <v>0.79008974867645243</v>
      </c>
      <c r="F160" s="75">
        <f>F121</f>
        <v>0.7151361824562058</v>
      </c>
      <c r="G160" s="10">
        <f>G121</f>
        <v>0.752612599036379</v>
      </c>
      <c r="H160" s="75">
        <f>H121</f>
        <v>0.69793533014721265</v>
      </c>
      <c r="I160" s="10">
        <f>I121</f>
        <v>0.70736065288256167</v>
      </c>
      <c r="J160" s="75">
        <f>J121</f>
        <v>0.78701194958937426</v>
      </c>
      <c r="K160" s="10">
        <f>K121</f>
        <v>0.7675843717170393</v>
      </c>
      <c r="L160" s="74">
        <f>L121</f>
        <v>0.72693373507793413</v>
      </c>
    </row>
    <row r="161" spans="2:12" x14ac:dyDescent="0.2">
      <c r="B161" s="32" t="s">
        <v>128</v>
      </c>
      <c r="C161" s="12">
        <f>C160*C159</f>
        <v>23.273374472891529</v>
      </c>
      <c r="D161" s="29">
        <f>D160*D159</f>
        <v>25.525613346770111</v>
      </c>
      <c r="E161" s="12">
        <f>E160*E159</f>
        <v>24.664360018355708</v>
      </c>
      <c r="F161" s="29">
        <f>F160*F159</f>
        <v>22.324522366984187</v>
      </c>
      <c r="G161" s="12">
        <f>G160*G159</f>
        <v>23.494429750644958</v>
      </c>
      <c r="H161" s="29">
        <f>H160*H159</f>
        <v>21.787560566527635</v>
      </c>
      <c r="I161" s="12">
        <f>I160*I159</f>
        <v>22.081792397307961</v>
      </c>
      <c r="J161" s="29">
        <f>J160*J159</f>
        <v>24.568279864328868</v>
      </c>
      <c r="K161" s="12">
        <f>K160*K159</f>
        <v>23.961806010275442</v>
      </c>
      <c r="L161" s="34">
        <f>L160*L159</f>
        <v>22.692808483447852</v>
      </c>
    </row>
    <row r="162" spans="2:12" x14ac:dyDescent="0.2">
      <c r="B162" s="31" t="s">
        <v>139</v>
      </c>
      <c r="C162" s="11"/>
      <c r="E162" s="11"/>
      <c r="G162" s="11"/>
      <c r="I162" s="11"/>
      <c r="K162" s="11"/>
      <c r="L162" s="19"/>
    </row>
    <row r="163" spans="2:12" x14ac:dyDescent="0.2">
      <c r="B163" s="32" t="s">
        <v>138</v>
      </c>
      <c r="C163" s="11">
        <f>C87</f>
        <v>1972.4660196478108</v>
      </c>
      <c r="D163">
        <f>D87</f>
        <v>1972.4660196478108</v>
      </c>
      <c r="E163" s="11">
        <f>E87</f>
        <v>1972.4660196478108</v>
      </c>
      <c r="F163">
        <f>F87</f>
        <v>1972.4660196478108</v>
      </c>
      <c r="G163" s="11">
        <f>G87</f>
        <v>1972.4660196478108</v>
      </c>
      <c r="H163">
        <f>H87</f>
        <v>1972.4660196478108</v>
      </c>
      <c r="I163" s="11">
        <f>I87</f>
        <v>1972.4660196478108</v>
      </c>
      <c r="J163">
        <f>J87</f>
        <v>1972.4660196478108</v>
      </c>
      <c r="K163" s="11">
        <f>K87</f>
        <v>1972.4660196478108</v>
      </c>
      <c r="L163" s="19">
        <f>L87</f>
        <v>1972.4660196478108</v>
      </c>
    </row>
    <row r="164" spans="2:12" x14ac:dyDescent="0.2">
      <c r="B164" s="32" t="s">
        <v>137</v>
      </c>
      <c r="C164" s="11">
        <f>C163/$I$9</f>
        <v>2229.7973163964789</v>
      </c>
      <c r="D164">
        <f>D163/$I$9</f>
        <v>2229.7973163964789</v>
      </c>
      <c r="E164" s="11">
        <f>E163/$I$9</f>
        <v>2229.7973163964789</v>
      </c>
      <c r="F164">
        <f>F163/$I$9</f>
        <v>2229.7973163964789</v>
      </c>
      <c r="G164" s="11">
        <f>G163/$I$9</f>
        <v>2229.7973163964789</v>
      </c>
      <c r="H164">
        <f>H163/$I$9</f>
        <v>2229.7973163964789</v>
      </c>
      <c r="I164" s="11">
        <f>I163/$I$9</f>
        <v>2229.7973163964789</v>
      </c>
      <c r="J164">
        <f>J163/$I$9</f>
        <v>2229.7973163964789</v>
      </c>
      <c r="K164" s="11">
        <f>K163/$I$9</f>
        <v>2229.7973163964789</v>
      </c>
      <c r="L164" s="19">
        <f>L163/$I$9</f>
        <v>2229.7973163964789</v>
      </c>
    </row>
    <row r="165" spans="2:12" x14ac:dyDescent="0.2">
      <c r="B165" s="32" t="s">
        <v>136</v>
      </c>
      <c r="C165" s="11">
        <f>C164*25/1000</f>
        <v>55.744932909911974</v>
      </c>
      <c r="D165">
        <f>D164*25/1000</f>
        <v>55.744932909911974</v>
      </c>
      <c r="E165" s="11">
        <f>E164*25/1000</f>
        <v>55.744932909911974</v>
      </c>
      <c r="F165">
        <f>F164*25/1000</f>
        <v>55.744932909911974</v>
      </c>
      <c r="G165" s="11">
        <f>G164*25/1000</f>
        <v>55.744932909911974</v>
      </c>
      <c r="H165">
        <f>H164*25/1000</f>
        <v>55.744932909911974</v>
      </c>
      <c r="I165" s="11">
        <f>I164*25/1000</f>
        <v>55.744932909911974</v>
      </c>
      <c r="J165">
        <f>J164*25/1000</f>
        <v>55.744932909911974</v>
      </c>
      <c r="K165" s="11">
        <f>K164*25/1000</f>
        <v>55.744932909911974</v>
      </c>
      <c r="L165" s="19">
        <f>L164*25/1000</f>
        <v>55.744932909911974</v>
      </c>
    </row>
    <row r="166" spans="2:12" x14ac:dyDescent="0.2">
      <c r="B166" s="32" t="s">
        <v>135</v>
      </c>
      <c r="C166" s="10">
        <f>C144</f>
        <v>1.1604440045816113</v>
      </c>
      <c r="D166" s="75">
        <f>D144</f>
        <v>1.2614504439255412</v>
      </c>
      <c r="E166" s="10">
        <f>E144</f>
        <v>1.2228257078528364</v>
      </c>
      <c r="F166" s="75">
        <f>F144</f>
        <v>1.117890715144491</v>
      </c>
      <c r="G166" s="10">
        <f>G144</f>
        <v>1.170357698356733</v>
      </c>
      <c r="H166" s="75">
        <f>H144</f>
        <v>1.0938095219119002</v>
      </c>
      <c r="I166" s="10">
        <f>I144</f>
        <v>1.107004973741389</v>
      </c>
      <c r="J166" s="75">
        <f>J144</f>
        <v>1.2185167891309268</v>
      </c>
      <c r="K166" s="10">
        <f>K144</f>
        <v>1.1913181801096575</v>
      </c>
      <c r="L166" s="74">
        <f>L144</f>
        <v>1.1344072888149108</v>
      </c>
    </row>
    <row r="167" spans="2:12" x14ac:dyDescent="0.2">
      <c r="B167" s="32" t="s">
        <v>128</v>
      </c>
      <c r="C167" s="12">
        <f>C166*C165</f>
        <v>64.688873181111504</v>
      </c>
      <c r="D167" s="29">
        <f>D166*D165</f>
        <v>70.319470365807973</v>
      </c>
      <c r="E167" s="12">
        <f>E166*E165</f>
        <v>68.166337044771979</v>
      </c>
      <c r="F167" s="29">
        <f>F166*F165</f>
        <v>62.316742916343166</v>
      </c>
      <c r="G167" s="12">
        <f>G166*G165</f>
        <v>65.24151137549508</v>
      </c>
      <c r="H167" s="29">
        <f>H166*H165</f>
        <v>60.974338415201764</v>
      </c>
      <c r="I167" s="12">
        <f>I166*I165</f>
        <v>61.70991799215259</v>
      </c>
      <c r="J167" s="29">
        <f>J166*J165</f>
        <v>67.926136659704866</v>
      </c>
      <c r="K167" s="12">
        <f>K166*K165</f>
        <v>66.409952024571282</v>
      </c>
      <c r="L167" s="34">
        <f>L166*L165</f>
        <v>63.237458207502343</v>
      </c>
    </row>
    <row r="168" spans="2:12" x14ac:dyDescent="0.2">
      <c r="B168" s="31" t="s">
        <v>134</v>
      </c>
      <c r="C168" s="11"/>
      <c r="E168" s="11"/>
      <c r="G168" s="11"/>
      <c r="I168" s="11"/>
      <c r="K168" s="11"/>
      <c r="L168" s="19"/>
    </row>
    <row r="169" spans="2:12" x14ac:dyDescent="0.2">
      <c r="B169" s="32" t="s">
        <v>130</v>
      </c>
      <c r="C169" s="11">
        <f>C97</f>
        <v>2281.9503849312514</v>
      </c>
      <c r="D169">
        <f>D97</f>
        <v>2397.9790763012184</v>
      </c>
      <c r="E169" s="11">
        <f>E97</f>
        <v>2421.6288271313797</v>
      </c>
      <c r="F169">
        <f>F97</f>
        <v>2448.6123172664279</v>
      </c>
      <c r="G169" s="11">
        <f>G97</f>
        <v>2445.3750622184139</v>
      </c>
      <c r="H169">
        <f>H97</f>
        <v>2295.4212406696324</v>
      </c>
      <c r="I169" s="11">
        <f>I97</f>
        <v>2795.4384784913095</v>
      </c>
      <c r="J169">
        <f>J97</f>
        <v>2354.6142913643889</v>
      </c>
      <c r="K169" s="11">
        <f>K97</f>
        <v>2577.4174948978612</v>
      </c>
      <c r="L169" s="19">
        <f>L97</f>
        <v>2781.0590670685833</v>
      </c>
    </row>
    <row r="170" spans="2:12" x14ac:dyDescent="0.2">
      <c r="B170" s="32" t="s">
        <v>128</v>
      </c>
      <c r="C170" s="11">
        <f>C169*15/1000</f>
        <v>34.229255773968767</v>
      </c>
      <c r="D170">
        <f>D169*15/1000</f>
        <v>35.969686144518271</v>
      </c>
      <c r="E170" s="11">
        <f>E169*15/1000</f>
        <v>36.324432406970693</v>
      </c>
      <c r="F170">
        <f>F169*15/1000</f>
        <v>36.729184758996418</v>
      </c>
      <c r="G170" s="11">
        <f>G169*15/1000</f>
        <v>36.680625933276204</v>
      </c>
      <c r="H170">
        <f>H169*15/1000</f>
        <v>34.431318610044485</v>
      </c>
      <c r="I170" s="11">
        <f>I169*15/1000</f>
        <v>41.93157717736964</v>
      </c>
      <c r="J170">
        <f>J169*15/1000</f>
        <v>35.319214370465836</v>
      </c>
      <c r="K170" s="11">
        <f>K169*15/1000</f>
        <v>38.661262423467917</v>
      </c>
      <c r="L170" s="19">
        <f>L169*15/1000</f>
        <v>41.715886006028747</v>
      </c>
    </row>
    <row r="171" spans="2:12" x14ac:dyDescent="0.2">
      <c r="B171" s="73" t="s">
        <v>133</v>
      </c>
      <c r="C171" s="22">
        <f>C155+C161+C167+C170</f>
        <v>187.00844967965418</v>
      </c>
      <c r="D171" s="26">
        <f>D155+D161+D167+D170</f>
        <v>203.38843273041448</v>
      </c>
      <c r="E171" s="22">
        <f>E155+E161+E167+E170</f>
        <v>198.1450323581733</v>
      </c>
      <c r="F171" s="26">
        <f>F155+F161+F167+F170</f>
        <v>183.34083997628412</v>
      </c>
      <c r="G171" s="22">
        <f>G155+G161+G167+G170</f>
        <v>190.89667914435887</v>
      </c>
      <c r="H171" s="26">
        <f>H155+H161+H167+H170</f>
        <v>177.55272212436458</v>
      </c>
      <c r="I171" s="22">
        <f>I155+I161+I167+I170</f>
        <v>186.96548759176184</v>
      </c>
      <c r="J171" s="26">
        <f>J155+J161+J167+J170</f>
        <v>196.51529332049398</v>
      </c>
      <c r="K171" s="22">
        <f>K155+K161+K167+K170</f>
        <v>195.91526132214875</v>
      </c>
      <c r="L171" s="39">
        <f>L155+L161+L167+L170</f>
        <v>190.72140098033029</v>
      </c>
    </row>
    <row r="172" spans="2:12" ht="15" x14ac:dyDescent="0.25">
      <c r="B172" s="69" t="s">
        <v>132</v>
      </c>
      <c r="C172" s="5"/>
      <c r="D172" s="7"/>
      <c r="E172" s="5"/>
      <c r="F172" s="7"/>
      <c r="G172" s="5"/>
      <c r="H172" s="7"/>
      <c r="I172" s="5"/>
      <c r="J172" s="7"/>
      <c r="K172" s="5"/>
      <c r="L172" s="49"/>
    </row>
    <row r="173" spans="2:12" x14ac:dyDescent="0.2">
      <c r="B173" s="31" t="s">
        <v>131</v>
      </c>
      <c r="C173" s="11"/>
      <c r="E173" s="11"/>
      <c r="G173" s="11"/>
      <c r="I173" s="11"/>
      <c r="K173" s="11"/>
      <c r="L173" s="19"/>
    </row>
    <row r="174" spans="2:12" x14ac:dyDescent="0.2">
      <c r="B174" s="32" t="s">
        <v>130</v>
      </c>
      <c r="C174" s="71">
        <f>C106</f>
        <v>1911.2233959362138</v>
      </c>
      <c r="D174" s="72">
        <f>D106</f>
        <v>2110.4551653077324</v>
      </c>
      <c r="E174" s="71">
        <f>E106</f>
        <v>2034.2691858864569</v>
      </c>
      <c r="F174" s="72">
        <f>F106</f>
        <v>1827.288478497255</v>
      </c>
      <c r="G174" s="71">
        <f>G106</f>
        <v>1930.777820036835</v>
      </c>
      <c r="H174" s="72">
        <f>H106</f>
        <v>1779.7891431333976</v>
      </c>
      <c r="I174" s="71">
        <f>I106</f>
        <v>1805.8167234809632</v>
      </c>
      <c r="J174" s="72">
        <f>J106</f>
        <v>2025.7699901260662</v>
      </c>
      <c r="K174" s="71">
        <f>K106</f>
        <v>1972.1216580499265</v>
      </c>
      <c r="L174" s="70">
        <f>L106</f>
        <v>1859.8668588231676</v>
      </c>
    </row>
    <row r="175" spans="2:12" x14ac:dyDescent="0.2">
      <c r="B175" s="28" t="s">
        <v>128</v>
      </c>
      <c r="C175" s="22">
        <f>C174*20/1000</f>
        <v>38.224467918724272</v>
      </c>
      <c r="D175" s="26">
        <f>D174*20/1000</f>
        <v>42.209103306154645</v>
      </c>
      <c r="E175" s="22">
        <f>E174*20/1000</f>
        <v>40.685383717729138</v>
      </c>
      <c r="F175" s="26">
        <f>F174*20/1000</f>
        <v>36.545769569945101</v>
      </c>
      <c r="G175" s="22">
        <f>G174*20/1000</f>
        <v>38.6155564007367</v>
      </c>
      <c r="H175" s="26">
        <f>H174*20/1000</f>
        <v>35.595782862667953</v>
      </c>
      <c r="I175" s="22">
        <f>I174*20/1000</f>
        <v>36.116334469619268</v>
      </c>
      <c r="J175" s="26">
        <f>J174*20/1000</f>
        <v>40.515399802521323</v>
      </c>
      <c r="K175" s="22">
        <f>K174*20/1000</f>
        <v>39.442433160998533</v>
      </c>
      <c r="L175" s="39">
        <f>L174*20/1000</f>
        <v>37.19733717646335</v>
      </c>
    </row>
    <row r="176" spans="2:12" ht="15" x14ac:dyDescent="0.25">
      <c r="B176" s="69" t="s">
        <v>129</v>
      </c>
      <c r="C176" s="5"/>
      <c r="D176" s="7"/>
      <c r="E176" s="5"/>
      <c r="F176" s="7"/>
      <c r="G176" s="5"/>
      <c r="H176" s="7"/>
      <c r="I176" s="5"/>
      <c r="J176" s="7"/>
      <c r="K176" s="5"/>
      <c r="L176" s="49"/>
    </row>
    <row r="177" spans="2:12" x14ac:dyDescent="0.2">
      <c r="B177" s="32" t="s">
        <v>128</v>
      </c>
      <c r="C177" s="12">
        <f>C171-C175</f>
        <v>148.78398176092992</v>
      </c>
      <c r="D177" s="29">
        <f>D171-D175</f>
        <v>161.17932942425983</v>
      </c>
      <c r="E177" s="12">
        <f>E171-E175</f>
        <v>157.45964864044416</v>
      </c>
      <c r="F177" s="29">
        <f>F171-F175</f>
        <v>146.79507040633902</v>
      </c>
      <c r="G177" s="12">
        <f>G171-G175</f>
        <v>152.28112274362218</v>
      </c>
      <c r="H177" s="29">
        <f>H171-H175</f>
        <v>141.95693926169662</v>
      </c>
      <c r="I177" s="12">
        <f>I171-I175</f>
        <v>150.84915312214258</v>
      </c>
      <c r="J177" s="29">
        <f>J171-J175</f>
        <v>155.99989351797265</v>
      </c>
      <c r="K177" s="12">
        <f>K171-K175</f>
        <v>156.47282816115023</v>
      </c>
      <c r="L177" s="34">
        <f>L171-L175</f>
        <v>153.52406380386694</v>
      </c>
    </row>
    <row r="178" spans="2:12" ht="15" x14ac:dyDescent="0.25">
      <c r="B178" s="68" t="s">
        <v>95</v>
      </c>
      <c r="C178" s="11"/>
      <c r="E178" s="11"/>
      <c r="G178" s="11"/>
      <c r="I178" s="11"/>
      <c r="K178" s="11"/>
      <c r="L178" s="19"/>
    </row>
    <row r="179" spans="2:12" x14ac:dyDescent="0.2">
      <c r="B179" s="32" t="s">
        <v>128</v>
      </c>
      <c r="C179" s="22">
        <f>C177</f>
        <v>148.78398176092992</v>
      </c>
      <c r="D179" s="29">
        <f>D177-C177</f>
        <v>12.395347663329915</v>
      </c>
      <c r="E179" s="22">
        <f>E177-D177</f>
        <v>-3.7196807838156758</v>
      </c>
      <c r="F179" s="29">
        <f>F177-E177</f>
        <v>-10.664578234105136</v>
      </c>
      <c r="G179" s="22">
        <f>G177-F177</f>
        <v>5.4860523372831551</v>
      </c>
      <c r="H179" s="29">
        <f>H177-G177</f>
        <v>-10.324183481925559</v>
      </c>
      <c r="I179" s="22">
        <f>I177-H177</f>
        <v>8.8922138604459633</v>
      </c>
      <c r="J179" s="29">
        <f>J177-I177</f>
        <v>5.1507403958300699</v>
      </c>
      <c r="K179" s="22">
        <f>K177-J177</f>
        <v>0.47293464317758094</v>
      </c>
      <c r="L179" s="34">
        <f>-SUM(C179:K179)</f>
        <v>-156.47282816115023</v>
      </c>
    </row>
    <row r="180" spans="2:12" x14ac:dyDescent="0.2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</row>
    <row r="181" spans="2:12" ht="15.75" x14ac:dyDescent="0.25">
      <c r="B181" s="14" t="s">
        <v>127</v>
      </c>
    </row>
    <row r="183" spans="2:12" x14ac:dyDescent="0.2">
      <c r="B183" s="58"/>
      <c r="C183" s="56">
        <v>1</v>
      </c>
      <c r="D183" s="57">
        <v>2</v>
      </c>
      <c r="E183" s="56">
        <v>3</v>
      </c>
      <c r="F183" s="57">
        <v>4</v>
      </c>
      <c r="G183" s="56">
        <v>5</v>
      </c>
      <c r="H183" s="57">
        <v>6</v>
      </c>
      <c r="I183" s="56">
        <v>7</v>
      </c>
      <c r="J183" s="57">
        <v>8</v>
      </c>
      <c r="K183" s="56">
        <v>9</v>
      </c>
      <c r="L183" s="55">
        <v>10</v>
      </c>
    </row>
    <row r="184" spans="2:12" x14ac:dyDescent="0.2">
      <c r="B184" s="54" t="s">
        <v>115</v>
      </c>
      <c r="C184" s="44">
        <f>C98</f>
        <v>832.91189049990669</v>
      </c>
      <c r="D184" s="44">
        <f>D98</f>
        <v>875.26236284994479</v>
      </c>
      <c r="E184" s="44">
        <f>E98</f>
        <v>883.89452190295367</v>
      </c>
      <c r="F184" s="44">
        <f>F98</f>
        <v>893.74349580224612</v>
      </c>
      <c r="G184" s="44">
        <f>G98</f>
        <v>892.56189770972105</v>
      </c>
      <c r="H184" s="44">
        <f>H98</f>
        <v>837.82875284441582</v>
      </c>
      <c r="I184" s="44">
        <f>I98</f>
        <v>1020.335044649328</v>
      </c>
      <c r="J184" s="44">
        <f>J98</f>
        <v>859.434216348002</v>
      </c>
      <c r="K184" s="44">
        <f>K98</f>
        <v>940.75738563771927</v>
      </c>
      <c r="L184" s="44">
        <f>L98</f>
        <v>1015.0865594800329</v>
      </c>
    </row>
    <row r="185" spans="2:12" x14ac:dyDescent="0.2">
      <c r="B185" s="35" t="s">
        <v>114</v>
      </c>
      <c r="C185" s="5"/>
      <c r="D185" s="7"/>
      <c r="E185" s="5"/>
      <c r="F185" s="7"/>
      <c r="G185" s="5"/>
      <c r="H185" s="7"/>
      <c r="I185" s="5"/>
      <c r="J185" s="7"/>
      <c r="K185" s="5"/>
      <c r="L185" s="49"/>
    </row>
    <row r="186" spans="2:12" x14ac:dyDescent="0.2">
      <c r="B186" s="31" t="s">
        <v>113</v>
      </c>
      <c r="C186" s="12">
        <f>C107</f>
        <v>697.59653951671805</v>
      </c>
      <c r="D186" s="12">
        <f>D107</f>
        <v>770.31613533732241</v>
      </c>
      <c r="E186" s="12">
        <f>E107</f>
        <v>742.50825284855671</v>
      </c>
      <c r="F186" s="12">
        <f>F107</f>
        <v>666.96029465149809</v>
      </c>
      <c r="G186" s="12">
        <f>G107</f>
        <v>704.73390431344478</v>
      </c>
      <c r="H186" s="12">
        <f>H107</f>
        <v>649.62303724369008</v>
      </c>
      <c r="I186" s="12">
        <f>I107</f>
        <v>659.12310407055156</v>
      </c>
      <c r="J186" s="12">
        <f>J107</f>
        <v>739.40604639601418</v>
      </c>
      <c r="K186" s="12">
        <f>K107</f>
        <v>719.82440518822318</v>
      </c>
      <c r="L186" s="12">
        <f>L107</f>
        <v>678.85140347045615</v>
      </c>
    </row>
    <row r="187" spans="2:12" x14ac:dyDescent="0.2">
      <c r="B187" s="31" t="s">
        <v>112</v>
      </c>
      <c r="C187" s="12">
        <f>C112+C135</f>
        <v>117.16175526793737</v>
      </c>
      <c r="D187" s="12">
        <f>D112+D135</f>
        <v>117.16175526793737</v>
      </c>
      <c r="E187" s="12">
        <f>E112+E135</f>
        <v>117.16175526793737</v>
      </c>
      <c r="F187" s="12">
        <f>F112+F135</f>
        <v>117.16175526793737</v>
      </c>
      <c r="G187" s="12">
        <f>G112+G135</f>
        <v>117.16175526793737</v>
      </c>
      <c r="H187" s="12">
        <f>H112+H135</f>
        <v>117.16175526793737</v>
      </c>
      <c r="I187" s="12">
        <f>I112+I135</f>
        <v>117.16175526793737</v>
      </c>
      <c r="J187" s="12">
        <f>J112+J135</f>
        <v>117.16175526793737</v>
      </c>
      <c r="K187" s="12">
        <f>K112+K135</f>
        <v>117.16175526793737</v>
      </c>
      <c r="L187" s="12">
        <f>L112+L135</f>
        <v>117.16175526793737</v>
      </c>
    </row>
    <row r="188" spans="2:12" x14ac:dyDescent="0.2">
      <c r="B188" s="31" t="s">
        <v>111</v>
      </c>
      <c r="C188" s="12">
        <f>C140+C117</f>
        <v>20.703479075903541</v>
      </c>
      <c r="D188" s="12">
        <f>D140+D117</f>
        <v>20.703479075903541</v>
      </c>
      <c r="E188" s="12">
        <f>E140+E117</f>
        <v>20.703479075903541</v>
      </c>
      <c r="F188" s="12">
        <f>F140+F117</f>
        <v>20.703479075903541</v>
      </c>
      <c r="G188" s="12">
        <f>G140+G117</f>
        <v>20.703479075903541</v>
      </c>
      <c r="H188" s="12">
        <f>H140+H117</f>
        <v>20.703479075903541</v>
      </c>
      <c r="I188" s="12">
        <f>I140+I117</f>
        <v>20.703479075903541</v>
      </c>
      <c r="J188" s="12">
        <f>J140+J117</f>
        <v>20.703479075903541</v>
      </c>
      <c r="K188" s="12">
        <f>K140+K117</f>
        <v>20.703479075903541</v>
      </c>
      <c r="L188" s="12">
        <f>L140+L117</f>
        <v>20.703479075903541</v>
      </c>
    </row>
    <row r="189" spans="2:12" x14ac:dyDescent="0.2">
      <c r="B189" s="28" t="s">
        <v>110</v>
      </c>
      <c r="C189" s="22">
        <f>SUM(C186:C188)</f>
        <v>835.46177386055888</v>
      </c>
      <c r="D189" s="22">
        <f>SUM(D186:D188)</f>
        <v>908.18136968116323</v>
      </c>
      <c r="E189" s="22">
        <f>SUM(E186:E188)</f>
        <v>880.37348719239753</v>
      </c>
      <c r="F189" s="22">
        <f>SUM(F186:F188)</f>
        <v>804.82552899533891</v>
      </c>
      <c r="G189" s="22">
        <f>SUM(G186:G188)</f>
        <v>842.59913865728561</v>
      </c>
      <c r="H189" s="22">
        <f>SUM(H186:H188)</f>
        <v>787.4882715875309</v>
      </c>
      <c r="I189" s="22">
        <f>SUM(I186:I188)</f>
        <v>796.98833841439239</v>
      </c>
      <c r="J189" s="22">
        <f>SUM(J186:J188)</f>
        <v>877.271280739855</v>
      </c>
      <c r="K189" s="22">
        <f>SUM(K186:K188)</f>
        <v>857.68963953206401</v>
      </c>
      <c r="L189" s="22">
        <f>SUM(L186:L188)</f>
        <v>816.71663781429697</v>
      </c>
    </row>
    <row r="190" spans="2:12" x14ac:dyDescent="0.2">
      <c r="B190" s="35" t="s">
        <v>109</v>
      </c>
      <c r="C190" s="13">
        <f>C184-C189</f>
        <v>-2.5498833606521885</v>
      </c>
      <c r="D190" s="13">
        <f>D184-D189</f>
        <v>-32.919006831218439</v>
      </c>
      <c r="E190" s="13">
        <f>E184-E189</f>
        <v>3.5210347105561368</v>
      </c>
      <c r="F190" s="13">
        <f>F184-F189</f>
        <v>88.917966806907202</v>
      </c>
      <c r="G190" s="13">
        <f>G184-G189</f>
        <v>49.962759052435445</v>
      </c>
      <c r="H190" s="13">
        <f>H184-H189</f>
        <v>50.340481256884914</v>
      </c>
      <c r="I190" s="13">
        <f>I184-I189</f>
        <v>223.3467062349356</v>
      </c>
      <c r="J190" s="13">
        <f>J184-J189</f>
        <v>-17.837064391853005</v>
      </c>
      <c r="K190" s="13">
        <f>K184-K189</f>
        <v>83.06774610565526</v>
      </c>
      <c r="L190" s="13">
        <f>L184-L189</f>
        <v>198.36992166573589</v>
      </c>
    </row>
    <row r="191" spans="2:12" x14ac:dyDescent="0.2">
      <c r="B191" s="31" t="s">
        <v>108</v>
      </c>
      <c r="C191" s="12">
        <f>$N$13*C184</f>
        <v>8.6355755698979131</v>
      </c>
      <c r="D191" s="12">
        <f>$N$13*D184</f>
        <v>9.0746624752128593</v>
      </c>
      <c r="E191" s="12">
        <f>$N$13*E184</f>
        <v>9.1641601311880869</v>
      </c>
      <c r="F191" s="12">
        <f>$N$13*F184</f>
        <v>9.2662736432694732</v>
      </c>
      <c r="G191" s="12">
        <f>$N$13*G184</f>
        <v>9.2540229121445723</v>
      </c>
      <c r="H191" s="12">
        <f>$N$13*H184</f>
        <v>8.686553274535207</v>
      </c>
      <c r="I191" s="12">
        <f>$N$13*I184</f>
        <v>10.578766476002686</v>
      </c>
      <c r="J191" s="12">
        <f>$N$13*J184</f>
        <v>8.9105572957719641</v>
      </c>
      <c r="K191" s="12">
        <f>$N$13*K184</f>
        <v>9.7537105536315174</v>
      </c>
      <c r="L191" s="12">
        <f>$N$13*L184</f>
        <v>10.52435052778068</v>
      </c>
    </row>
    <row r="192" spans="2:12" x14ac:dyDescent="0.2">
      <c r="B192" s="52" t="s">
        <v>107</v>
      </c>
      <c r="C192" s="22">
        <f>$N$14*C184</f>
        <v>4.3395703265724768</v>
      </c>
      <c r="D192" s="22">
        <f>$N$14*D184</f>
        <v>4.5602213404705365</v>
      </c>
      <c r="E192" s="22">
        <f>$N$14*E184</f>
        <v>4.6051959190639673</v>
      </c>
      <c r="F192" s="22">
        <f>$N$14*F184</f>
        <v>4.6565102481881482</v>
      </c>
      <c r="G192" s="22">
        <f>$N$14*G184</f>
        <v>4.6503539811462904</v>
      </c>
      <c r="H192" s="22">
        <f>$N$14*H184</f>
        <v>4.3651877660320899</v>
      </c>
      <c r="I192" s="22">
        <f>$N$14*I184</f>
        <v>5.3160673216763534</v>
      </c>
      <c r="J192" s="22">
        <f>$N$14*J184</f>
        <v>4.4777548086945913</v>
      </c>
      <c r="K192" s="22">
        <f>$N$14*K184</f>
        <v>4.9014582235908239</v>
      </c>
      <c r="L192" s="22">
        <f>$N$14*L184</f>
        <v>5.2887220877327499</v>
      </c>
    </row>
    <row r="193" spans="2:13" x14ac:dyDescent="0.2">
      <c r="B193" s="35" t="s">
        <v>106</v>
      </c>
      <c r="C193" s="13">
        <f>C190-(C191+C192)</f>
        <v>-15.525029257122579</v>
      </c>
      <c r="D193" s="13">
        <f>D190-(D191+D192)</f>
        <v>-46.553890646901834</v>
      </c>
      <c r="E193" s="13">
        <f>E190-(E191+E192)</f>
        <v>-10.248321339695917</v>
      </c>
      <c r="F193" s="13">
        <f>F190-(F191+F192)</f>
        <v>74.995182915449575</v>
      </c>
      <c r="G193" s="13">
        <f>G190-(G191+G192)</f>
        <v>36.058382159144585</v>
      </c>
      <c r="H193" s="13">
        <f>H190-(H191+H192)</f>
        <v>37.28874021631762</v>
      </c>
      <c r="I193" s="13">
        <f>I190-(I191+I192)</f>
        <v>207.45187243725655</v>
      </c>
      <c r="J193" s="13">
        <f>J190-(J191+J192)</f>
        <v>-31.225376496319562</v>
      </c>
      <c r="K193" s="13">
        <f>K190-(K191+K192)</f>
        <v>68.412577328432917</v>
      </c>
      <c r="L193" s="13">
        <f>L190-(L191+L192)</f>
        <v>182.55684905022247</v>
      </c>
    </row>
    <row r="194" spans="2:13" x14ac:dyDescent="0.2">
      <c r="B194" s="31"/>
      <c r="C194" s="11"/>
      <c r="E194" s="11"/>
      <c r="G194" s="11"/>
      <c r="I194" s="11"/>
      <c r="K194" s="11"/>
      <c r="L194" s="19"/>
    </row>
    <row r="195" spans="2:13" x14ac:dyDescent="0.2">
      <c r="B195" s="52" t="s">
        <v>92</v>
      </c>
      <c r="C195" s="9">
        <f>($C$8+$C$9)/10</f>
        <v>12.788338993309333</v>
      </c>
      <c r="D195" s="9">
        <f>($C$8+$C$9)/10</f>
        <v>12.788338993309333</v>
      </c>
      <c r="E195" s="9">
        <f>($C$8+$C$9)/10</f>
        <v>12.788338993309333</v>
      </c>
      <c r="F195" s="9">
        <f>($C$8+$C$9)/10</f>
        <v>12.788338993309333</v>
      </c>
      <c r="G195" s="9">
        <f>($C$8+$C$9)/10</f>
        <v>12.788338993309333</v>
      </c>
      <c r="H195" s="9">
        <f>($C$8+$C$9)/10</f>
        <v>12.788338993309333</v>
      </c>
      <c r="I195" s="9">
        <f>($C$8+$C$9)/10</f>
        <v>12.788338993309333</v>
      </c>
      <c r="J195" s="9">
        <f>($C$8+$C$9)/10</f>
        <v>12.788338993309333</v>
      </c>
      <c r="K195" s="9">
        <f>($C$8+$C$9)/10</f>
        <v>12.788338993309333</v>
      </c>
      <c r="L195" s="9">
        <f>($C$8+$C$9)/10</f>
        <v>12.788338993309333</v>
      </c>
    </row>
    <row r="196" spans="2:13" x14ac:dyDescent="0.2">
      <c r="B196" s="35" t="s">
        <v>104</v>
      </c>
      <c r="C196" s="13">
        <f>C193-C195</f>
        <v>-28.313368250431914</v>
      </c>
      <c r="D196" s="13">
        <f>D193-D195</f>
        <v>-59.342229640211166</v>
      </c>
      <c r="E196" s="13">
        <f>E193-E195</f>
        <v>-23.036660333005251</v>
      </c>
      <c r="F196" s="13">
        <f>F193-F195</f>
        <v>62.206843922140244</v>
      </c>
      <c r="G196" s="13">
        <f>G193-G195</f>
        <v>23.270043165835254</v>
      </c>
      <c r="H196" s="13">
        <f>H193-H195</f>
        <v>24.500401223008289</v>
      </c>
      <c r="I196" s="13">
        <f>I193-I195</f>
        <v>194.66353344394722</v>
      </c>
      <c r="J196" s="13">
        <f>J193-J195</f>
        <v>-44.013715489628893</v>
      </c>
      <c r="K196" s="13">
        <f>K193-K195</f>
        <v>55.624238335123586</v>
      </c>
      <c r="L196" s="13">
        <f>L193-L195</f>
        <v>169.76851005691313</v>
      </c>
    </row>
    <row r="197" spans="2:13" x14ac:dyDescent="0.2">
      <c r="B197" s="52" t="s">
        <v>103</v>
      </c>
      <c r="C197" s="22">
        <f>$C$25*C196</f>
        <v>-8.4500300091871257</v>
      </c>
      <c r="D197" s="22">
        <f>$C$25*D196</f>
        <v>-17.710489858945294</v>
      </c>
      <c r="E197" s="22">
        <f>$C$25*E196</f>
        <v>-6.8752141887030893</v>
      </c>
      <c r="F197" s="22">
        <f>$C$25*F196</f>
        <v>18.565424405515092</v>
      </c>
      <c r="G197" s="22">
        <f>$C$25*G196</f>
        <v>6.9448665141911574</v>
      </c>
      <c r="H197" s="22">
        <f>$C$25*H196</f>
        <v>7.3120627592016296</v>
      </c>
      <c r="I197" s="22">
        <f>$C$25*I196</f>
        <v>58.096680152869588</v>
      </c>
      <c r="J197" s="22">
        <f>$C$25*J196</f>
        <v>-13.135746104581353</v>
      </c>
      <c r="K197" s="22">
        <f>$C$25*K196</f>
        <v>16.600867795473295</v>
      </c>
      <c r="L197" s="22">
        <f>$C$25*L196</f>
        <v>50.666843729340421</v>
      </c>
    </row>
    <row r="198" spans="2:13" x14ac:dyDescent="0.2">
      <c r="B198" s="54" t="s">
        <v>93</v>
      </c>
      <c r="C198" s="44">
        <f>C196-C197</f>
        <v>-19.86333824124479</v>
      </c>
      <c r="D198" s="44">
        <f>D196-D197</f>
        <v>-41.631739781265871</v>
      </c>
      <c r="E198" s="44">
        <f>E196-E197</f>
        <v>-16.161446144302161</v>
      </c>
      <c r="F198" s="44">
        <f>F196-F197</f>
        <v>43.641419516625149</v>
      </c>
      <c r="G198" s="44">
        <f>G196-G197</f>
        <v>16.325176651644096</v>
      </c>
      <c r="H198" s="44">
        <f>H196-H197</f>
        <v>17.188338463806659</v>
      </c>
      <c r="I198" s="44">
        <f>I196-I197</f>
        <v>136.56685329107762</v>
      </c>
      <c r="J198" s="44">
        <f>J196-J197</f>
        <v>-30.877969385047543</v>
      </c>
      <c r="K198" s="44">
        <f>K196-K197</f>
        <v>39.023370539650287</v>
      </c>
      <c r="L198" s="44">
        <f>L196-L197</f>
        <v>119.1016663275727</v>
      </c>
    </row>
    <row r="199" spans="2:13" x14ac:dyDescent="0.2">
      <c r="B199" s="67" t="s">
        <v>102</v>
      </c>
      <c r="C199" s="13">
        <f>$C$27*C198</f>
        <v>-1.9922721087949422</v>
      </c>
      <c r="D199" s="13">
        <f>$C$27*D198</f>
        <v>-4.1756200795394136</v>
      </c>
      <c r="E199" s="13">
        <f>$C$27*E198</f>
        <v>-1.6209761924220738</v>
      </c>
      <c r="F199" s="13">
        <f>$C$27*F198</f>
        <v>4.377188860966748</v>
      </c>
      <c r="G199" s="13">
        <f>$C$27*G198</f>
        <v>1.63739819154299</v>
      </c>
      <c r="H199" s="13">
        <f>$C$27*H198</f>
        <v>1.7239724210537999</v>
      </c>
      <c r="I199" s="13">
        <f>$C$27*I198</f>
        <v>13.697512950403958</v>
      </c>
      <c r="J199" s="13">
        <f>$C$27*J198</f>
        <v>-3.0970281246239897</v>
      </c>
      <c r="K199" s="13">
        <f>$C$27*K198</f>
        <v>3.9140033650478374</v>
      </c>
      <c r="L199" s="13">
        <f>$C$27*L198</f>
        <v>11.945772913574212</v>
      </c>
    </row>
    <row r="200" spans="2:13" ht="15" x14ac:dyDescent="0.25">
      <c r="B200" s="32" t="s">
        <v>101</v>
      </c>
      <c r="C200" s="12">
        <f>$C$28*C198</f>
        <v>-0.1938803484900902</v>
      </c>
      <c r="D200" s="12">
        <f>$C$28*D198</f>
        <v>-0.40635547353669549</v>
      </c>
      <c r="E200" s="12">
        <f>$C$28*E198</f>
        <v>-0.157747241299797</v>
      </c>
      <c r="F200" s="12">
        <f>$C$28*F198</f>
        <v>0.42597138113050942</v>
      </c>
      <c r="G200" s="66">
        <v>4</v>
      </c>
      <c r="H200" s="12">
        <f>$C$28*H198</f>
        <v>0.16777044275512562</v>
      </c>
      <c r="I200" s="12">
        <f>$C$28*I198</f>
        <v>1.3329898925695309</v>
      </c>
      <c r="J200" s="12">
        <f>$C$28*J198</f>
        <v>-0.30139100448929296</v>
      </c>
      <c r="K200" s="12">
        <f>$C$28*K198</f>
        <v>0.38089592935468136</v>
      </c>
      <c r="L200" s="12">
        <f>$C$28*L198</f>
        <v>1.1625172109989275</v>
      </c>
    </row>
    <row r="201" spans="2:13" x14ac:dyDescent="0.2">
      <c r="B201" s="32" t="s">
        <v>75</v>
      </c>
      <c r="C201" s="12">
        <f>C198-(C199+C200)</f>
        <v>-17.677185783959757</v>
      </c>
      <c r="D201" s="12">
        <f>D198-(D199+D200)</f>
        <v>-37.049764228189758</v>
      </c>
      <c r="E201" s="12">
        <f>E198-(E199+E200)</f>
        <v>-14.382722710580291</v>
      </c>
      <c r="F201" s="12">
        <f>F198-(F199+F200)</f>
        <v>38.838259274527893</v>
      </c>
      <c r="G201" s="12">
        <f>G198-(G199+G200)</f>
        <v>10.687778460101105</v>
      </c>
      <c r="H201" s="12">
        <f>H198-(H199+H200)</f>
        <v>15.296595599997733</v>
      </c>
      <c r="I201" s="12">
        <f>I198-(I199+I200)</f>
        <v>121.53635044810413</v>
      </c>
      <c r="J201" s="12">
        <f>J198-(J199+J200)</f>
        <v>-27.47955025593426</v>
      </c>
      <c r="K201" s="12">
        <f>K198-(K199+K200)</f>
        <v>34.728471245247768</v>
      </c>
      <c r="L201" s="12">
        <f>L198-(L199+L200)</f>
        <v>105.99337620299956</v>
      </c>
    </row>
    <row r="202" spans="2:13" x14ac:dyDescent="0.2">
      <c r="B202" s="28" t="s">
        <v>100</v>
      </c>
      <c r="C202" s="22">
        <v>0</v>
      </c>
      <c r="D202" s="22">
        <v>0</v>
      </c>
      <c r="E202" s="22">
        <v>0</v>
      </c>
      <c r="F202" s="22">
        <v>0</v>
      </c>
      <c r="G202" s="22">
        <v>0</v>
      </c>
      <c r="H202" s="22">
        <v>0</v>
      </c>
      <c r="I202" s="22">
        <v>0</v>
      </c>
      <c r="J202" s="22">
        <v>0</v>
      </c>
      <c r="K202" s="22">
        <v>0</v>
      </c>
      <c r="L202" s="22">
        <v>0</v>
      </c>
    </row>
    <row r="204" spans="2:13" ht="15.75" x14ac:dyDescent="0.25">
      <c r="B204" s="14" t="s">
        <v>126</v>
      </c>
    </row>
    <row r="206" spans="2:13" x14ac:dyDescent="0.2">
      <c r="B206" s="51"/>
      <c r="C206" s="36">
        <v>0</v>
      </c>
      <c r="D206" s="37">
        <v>1</v>
      </c>
      <c r="E206" s="36">
        <v>2</v>
      </c>
      <c r="F206" s="37">
        <v>3</v>
      </c>
      <c r="G206" s="36">
        <v>4</v>
      </c>
      <c r="H206" s="37">
        <v>5</v>
      </c>
      <c r="I206" s="36">
        <v>6</v>
      </c>
      <c r="J206" s="37">
        <v>7</v>
      </c>
      <c r="K206" s="36">
        <v>8</v>
      </c>
      <c r="L206" s="50">
        <v>9</v>
      </c>
      <c r="M206" s="50">
        <v>10</v>
      </c>
    </row>
    <row r="207" spans="2:13" x14ac:dyDescent="0.2">
      <c r="B207" s="5" t="s">
        <v>98</v>
      </c>
      <c r="C207" s="5"/>
      <c r="D207" s="7"/>
      <c r="E207" s="5"/>
      <c r="F207" s="7"/>
      <c r="G207" s="5"/>
      <c r="H207" s="7"/>
      <c r="I207" s="5"/>
      <c r="J207" s="7"/>
      <c r="K207" s="5"/>
      <c r="L207" s="7"/>
      <c r="M207" s="49"/>
    </row>
    <row r="208" spans="2:13" x14ac:dyDescent="0.2">
      <c r="B208" s="11" t="s">
        <v>125</v>
      </c>
      <c r="C208" s="12">
        <f>C8+C9</f>
        <v>127.88338993309333</v>
      </c>
      <c r="D208" s="29"/>
      <c r="E208" s="12"/>
      <c r="F208" s="29"/>
      <c r="G208" s="12"/>
      <c r="H208" s="29"/>
      <c r="I208" s="12"/>
      <c r="J208" s="29"/>
      <c r="K208" s="12"/>
      <c r="L208" s="29"/>
      <c r="M208" s="34"/>
    </row>
    <row r="209" spans="2:13" ht="15" x14ac:dyDescent="0.25">
      <c r="B209" s="41" t="s">
        <v>95</v>
      </c>
      <c r="C209" s="12"/>
      <c r="D209" s="29">
        <f>C179</f>
        <v>148.78398176092992</v>
      </c>
      <c r="E209" s="12">
        <f>D179</f>
        <v>12.395347663329915</v>
      </c>
      <c r="F209" s="29">
        <f>E179</f>
        <v>-3.7196807838156758</v>
      </c>
      <c r="G209" s="12">
        <f>F179</f>
        <v>-10.664578234105136</v>
      </c>
      <c r="H209" s="29">
        <f>G179</f>
        <v>5.4860523372831551</v>
      </c>
      <c r="I209" s="12">
        <f>H179</f>
        <v>-10.324183481925559</v>
      </c>
      <c r="J209" s="29">
        <f>I179</f>
        <v>8.8922138604459633</v>
      </c>
      <c r="K209" s="12">
        <f>J179</f>
        <v>5.1507403958300699</v>
      </c>
      <c r="L209" s="29">
        <f>K179</f>
        <v>0.47293464317758094</v>
      </c>
      <c r="M209" s="34">
        <f>L179</f>
        <v>-156.47282816115023</v>
      </c>
    </row>
    <row r="210" spans="2:13" ht="15" x14ac:dyDescent="0.25">
      <c r="B210" s="62" t="s">
        <v>94</v>
      </c>
      <c r="C210" s="22">
        <f>C208</f>
        <v>127.88338993309333</v>
      </c>
      <c r="D210" s="26">
        <f>D209</f>
        <v>148.78398176092992</v>
      </c>
      <c r="E210" s="22">
        <f>E209</f>
        <v>12.395347663329915</v>
      </c>
      <c r="F210" s="26">
        <f>F209</f>
        <v>-3.7196807838156758</v>
      </c>
      <c r="G210" s="22">
        <f>G209</f>
        <v>-10.664578234105136</v>
      </c>
      <c r="H210" s="26">
        <f>H209</f>
        <v>5.4860523372831551</v>
      </c>
      <c r="I210" s="22">
        <f>I209</f>
        <v>-10.324183481925559</v>
      </c>
      <c r="J210" s="26">
        <f>J209</f>
        <v>8.8922138604459633</v>
      </c>
      <c r="K210" s="22">
        <f>K209</f>
        <v>5.1507403958300699</v>
      </c>
      <c r="L210" s="26">
        <f>L209</f>
        <v>0.47293464317758094</v>
      </c>
      <c r="M210" s="39">
        <f>M209</f>
        <v>-156.47282816115023</v>
      </c>
    </row>
    <row r="211" spans="2:13" ht="15" x14ac:dyDescent="0.25">
      <c r="B211" s="42" t="s">
        <v>93</v>
      </c>
      <c r="C211" s="13"/>
      <c r="D211" s="59">
        <f>C198</f>
        <v>-19.86333824124479</v>
      </c>
      <c r="E211" s="13">
        <f>D198</f>
        <v>-41.631739781265871</v>
      </c>
      <c r="F211" s="59">
        <f>E198</f>
        <v>-16.161446144302161</v>
      </c>
      <c r="G211" s="13">
        <f>F198</f>
        <v>43.641419516625149</v>
      </c>
      <c r="H211" s="59">
        <f>G198</f>
        <v>16.325176651644096</v>
      </c>
      <c r="I211" s="13">
        <f>H198</f>
        <v>17.188338463806659</v>
      </c>
      <c r="J211" s="59">
        <f>I198</f>
        <v>136.56685329107762</v>
      </c>
      <c r="K211" s="13">
        <f>J198</f>
        <v>-30.877969385047543</v>
      </c>
      <c r="L211" s="59">
        <f>K198</f>
        <v>39.023370539650287</v>
      </c>
      <c r="M211" s="47">
        <f>L198</f>
        <v>119.1016663275727</v>
      </c>
    </row>
    <row r="212" spans="2:13" ht="15" x14ac:dyDescent="0.25">
      <c r="B212" s="40" t="s">
        <v>92</v>
      </c>
      <c r="C212" s="22"/>
      <c r="D212" s="26">
        <f>C195</f>
        <v>12.788338993309333</v>
      </c>
      <c r="E212" s="22">
        <f>D195</f>
        <v>12.788338993309333</v>
      </c>
      <c r="F212" s="26">
        <f>E195</f>
        <v>12.788338993309333</v>
      </c>
      <c r="G212" s="22">
        <f>F195</f>
        <v>12.788338993309333</v>
      </c>
      <c r="H212" s="26">
        <f>G195</f>
        <v>12.788338993309333</v>
      </c>
      <c r="I212" s="22">
        <f>H195</f>
        <v>12.788338993309333</v>
      </c>
      <c r="J212" s="26">
        <f>I195</f>
        <v>12.788338993309333</v>
      </c>
      <c r="K212" s="22">
        <f>J195</f>
        <v>12.788338993309333</v>
      </c>
      <c r="L212" s="26">
        <f>K195</f>
        <v>12.788338993309333</v>
      </c>
      <c r="M212" s="39">
        <f>L195</f>
        <v>12.788338993309333</v>
      </c>
    </row>
    <row r="213" spans="2:13" ht="15" x14ac:dyDescent="0.25">
      <c r="B213" s="46" t="s">
        <v>91</v>
      </c>
      <c r="C213" s="44">
        <f>-C210</f>
        <v>-127.88338993309333</v>
      </c>
      <c r="D213" s="65">
        <f>D211+D212-D210</f>
        <v>-155.85898100886538</v>
      </c>
      <c r="E213" s="44">
        <f>E211+E212-E210</f>
        <v>-41.238748451286455</v>
      </c>
      <c r="F213" s="65">
        <f>F211+F212-F210</f>
        <v>0.3465736328228477</v>
      </c>
      <c r="G213" s="44">
        <f>G211+G212-G210</f>
        <v>67.094336744039623</v>
      </c>
      <c r="H213" s="65">
        <f>H211+H212-H210</f>
        <v>23.627463307670276</v>
      </c>
      <c r="I213" s="44">
        <f>I211+I212-I210</f>
        <v>40.300860939041549</v>
      </c>
      <c r="J213" s="65">
        <f>J211+J212-J210</f>
        <v>140.462978423941</v>
      </c>
      <c r="K213" s="44">
        <f>K211+K212-K210</f>
        <v>-23.240370787568281</v>
      </c>
      <c r="L213" s="65">
        <f>L211+L212-L210</f>
        <v>51.338774889782037</v>
      </c>
      <c r="M213" s="43">
        <f>M211+M212-M210</f>
        <v>288.36283348203227</v>
      </c>
    </row>
    <row r="214" spans="2:13" ht="15" x14ac:dyDescent="0.25">
      <c r="B214" s="64" t="s">
        <v>90</v>
      </c>
      <c r="C214" s="13">
        <f>-C213</f>
        <v>127.88338993309333</v>
      </c>
      <c r="D214" s="59">
        <f>-D213</f>
        <v>155.85898100886538</v>
      </c>
      <c r="E214" s="13">
        <v>0</v>
      </c>
      <c r="F214" s="59">
        <v>0</v>
      </c>
      <c r="G214" s="13">
        <v>0</v>
      </c>
      <c r="H214" s="59">
        <v>0</v>
      </c>
      <c r="I214" s="13">
        <v>0</v>
      </c>
      <c r="J214" s="59">
        <v>0</v>
      </c>
      <c r="K214" s="13">
        <v>0</v>
      </c>
      <c r="L214" s="59">
        <v>0</v>
      </c>
      <c r="M214" s="47">
        <v>0</v>
      </c>
    </row>
    <row r="215" spans="2:13" ht="15" x14ac:dyDescent="0.25">
      <c r="B215" s="63" t="s">
        <v>75</v>
      </c>
      <c r="C215" s="12">
        <v>0</v>
      </c>
      <c r="D215" s="29">
        <v>0</v>
      </c>
      <c r="E215" s="12">
        <f>C201</f>
        <v>-17.677185783959757</v>
      </c>
      <c r="F215" s="29">
        <f>D201</f>
        <v>-37.049764228189758</v>
      </c>
      <c r="G215" s="12">
        <f>E201</f>
        <v>-14.382722710580291</v>
      </c>
      <c r="H215" s="29">
        <f>F201</f>
        <v>38.838259274527893</v>
      </c>
      <c r="I215" s="12">
        <f>G201</f>
        <v>10.687778460101105</v>
      </c>
      <c r="J215" s="29">
        <f>H201</f>
        <v>15.296595599997733</v>
      </c>
      <c r="K215" s="12">
        <f>I201</f>
        <v>121.53635044810413</v>
      </c>
      <c r="L215" s="29">
        <f>J201</f>
        <v>-27.47955025593426</v>
      </c>
      <c r="M215" s="34">
        <f>K201</f>
        <v>34.728471245247768</v>
      </c>
    </row>
    <row r="216" spans="2:13" ht="15" x14ac:dyDescent="0.25">
      <c r="B216" s="63" t="s">
        <v>89</v>
      </c>
      <c r="C216" s="12">
        <v>0</v>
      </c>
      <c r="D216" s="29">
        <v>0</v>
      </c>
      <c r="E216" s="12">
        <f>E213-E215</f>
        <v>-23.561562667326697</v>
      </c>
      <c r="F216" s="29">
        <f>F213-F215</f>
        <v>37.396337861012604</v>
      </c>
      <c r="G216" s="12">
        <f>G213-G215</f>
        <v>81.477059454619919</v>
      </c>
      <c r="H216" s="29">
        <f>H213-H215</f>
        <v>-15.210795966857617</v>
      </c>
      <c r="I216" s="12">
        <f>I213-I215</f>
        <v>29.613082478940441</v>
      </c>
      <c r="J216" s="29">
        <f>J213-J215</f>
        <v>125.16638282394327</v>
      </c>
      <c r="K216" s="12">
        <f>K213-K215</f>
        <v>-144.77672123567243</v>
      </c>
      <c r="L216" s="29">
        <f>L213-L215</f>
        <v>78.818325145716301</v>
      </c>
      <c r="M216" s="34">
        <f>M213-M215</f>
        <v>253.63436223678451</v>
      </c>
    </row>
    <row r="217" spans="2:13" ht="15" x14ac:dyDescent="0.25">
      <c r="B217" s="62" t="s">
        <v>88</v>
      </c>
      <c r="C217" s="22">
        <f>C216</f>
        <v>0</v>
      </c>
      <c r="D217" s="26">
        <f>C217+D216</f>
        <v>0</v>
      </c>
      <c r="E217" s="22">
        <f>D217+E216</f>
        <v>-23.561562667326697</v>
      </c>
      <c r="F217" s="26">
        <f>E217+F216</f>
        <v>13.834775193685907</v>
      </c>
      <c r="G217" s="22">
        <f>F217+G216</f>
        <v>95.311834648305819</v>
      </c>
      <c r="H217" s="26">
        <f>G217+H216</f>
        <v>80.101038681448202</v>
      </c>
      <c r="I217" s="22">
        <f>H217+I216</f>
        <v>109.71412116038864</v>
      </c>
      <c r="J217" s="26">
        <f>I217+J216</f>
        <v>234.88050398433191</v>
      </c>
      <c r="K217" s="22">
        <f>J217+K216</f>
        <v>90.103782748659484</v>
      </c>
      <c r="L217" s="26">
        <f>K217+L216</f>
        <v>168.92210789437578</v>
      </c>
      <c r="M217" s="39">
        <f>L217+M216</f>
        <v>422.55647013116027</v>
      </c>
    </row>
    <row r="219" spans="2:13" ht="15.75" x14ac:dyDescent="0.25">
      <c r="B219" s="14" t="s">
        <v>124</v>
      </c>
    </row>
    <row r="221" spans="2:13" x14ac:dyDescent="0.2">
      <c r="B221" s="38"/>
      <c r="C221" s="36">
        <v>0</v>
      </c>
      <c r="D221" s="37">
        <v>1</v>
      </c>
      <c r="E221" s="36">
        <v>2</v>
      </c>
      <c r="F221" s="37">
        <v>3</v>
      </c>
      <c r="G221" s="36">
        <v>4</v>
      </c>
      <c r="H221" s="37">
        <v>5</v>
      </c>
      <c r="I221" s="36">
        <v>6</v>
      </c>
      <c r="J221" s="37">
        <v>7</v>
      </c>
      <c r="K221" s="36">
        <v>8</v>
      </c>
      <c r="L221" s="37">
        <v>9</v>
      </c>
      <c r="M221" s="36">
        <v>10</v>
      </c>
    </row>
    <row r="222" spans="2:13" x14ac:dyDescent="0.2">
      <c r="B222" s="35" t="s">
        <v>86</v>
      </c>
      <c r="C222" s="5"/>
      <c r="D222" s="5"/>
      <c r="E222" s="7"/>
      <c r="F222" s="5"/>
      <c r="G222" s="7"/>
      <c r="H222" s="5"/>
      <c r="I222" s="7"/>
      <c r="J222" s="5"/>
      <c r="K222" s="7"/>
      <c r="L222" s="5"/>
      <c r="M222" s="5"/>
    </row>
    <row r="223" spans="2:13" x14ac:dyDescent="0.2">
      <c r="B223" s="31" t="s">
        <v>85</v>
      </c>
      <c r="C223" s="12">
        <f>C217</f>
        <v>0</v>
      </c>
      <c r="D223" s="12">
        <f>D217</f>
        <v>0</v>
      </c>
      <c r="E223" s="30">
        <f>E217</f>
        <v>-23.561562667326697</v>
      </c>
      <c r="F223" s="12">
        <f>F217</f>
        <v>13.834775193685907</v>
      </c>
      <c r="G223" s="29">
        <f>G217</f>
        <v>95.311834648305819</v>
      </c>
      <c r="H223" s="12">
        <f>H217</f>
        <v>80.101038681448202</v>
      </c>
      <c r="I223" s="29">
        <f>I217</f>
        <v>109.71412116038864</v>
      </c>
      <c r="J223" s="12">
        <f>J217</f>
        <v>234.88050398433191</v>
      </c>
      <c r="K223" s="29">
        <f>K217</f>
        <v>90.103782748659484</v>
      </c>
      <c r="L223" s="12">
        <f>L217</f>
        <v>168.92210789437578</v>
      </c>
      <c r="M223" s="12">
        <f>M217</f>
        <v>422.55647013116027</v>
      </c>
    </row>
    <row r="224" spans="2:13" x14ac:dyDescent="0.2">
      <c r="B224" s="31" t="s">
        <v>84</v>
      </c>
      <c r="C224" s="11"/>
      <c r="D224" s="12">
        <f>C155</f>
        <v>64.816946251682381</v>
      </c>
      <c r="E224" s="29">
        <f>D155</f>
        <v>71.573662873318113</v>
      </c>
      <c r="F224" s="12">
        <f>E155</f>
        <v>68.989902888074923</v>
      </c>
      <c r="G224" s="29">
        <f>F155</f>
        <v>61.970389933960355</v>
      </c>
      <c r="H224" s="12">
        <f>G155</f>
        <v>65.480112084942661</v>
      </c>
      <c r="I224" s="29">
        <f>H155</f>
        <v>60.359504532590698</v>
      </c>
      <c r="J224" s="12">
        <f>I155</f>
        <v>61.24220002493167</v>
      </c>
      <c r="K224" s="29">
        <f>J155</f>
        <v>68.7016624259944</v>
      </c>
      <c r="L224" s="12">
        <f>K155</f>
        <v>66.882240863834113</v>
      </c>
      <c r="M224" s="12">
        <v>0</v>
      </c>
    </row>
    <row r="225" spans="2:13" x14ac:dyDescent="0.2">
      <c r="B225" s="31" t="s">
        <v>83</v>
      </c>
      <c r="C225" s="11"/>
      <c r="D225" s="12">
        <f>C161</f>
        <v>23.273374472891529</v>
      </c>
      <c r="E225" s="29">
        <f>D161</f>
        <v>25.525613346770111</v>
      </c>
      <c r="F225" s="12">
        <f>E161</f>
        <v>24.664360018355708</v>
      </c>
      <c r="G225" s="29">
        <f>F161</f>
        <v>22.324522366984187</v>
      </c>
      <c r="H225" s="12">
        <f>G161</f>
        <v>23.494429750644958</v>
      </c>
      <c r="I225" s="29">
        <f>H161</f>
        <v>21.787560566527635</v>
      </c>
      <c r="J225" s="12">
        <f>I161</f>
        <v>22.081792397307961</v>
      </c>
      <c r="K225" s="29">
        <f>J161</f>
        <v>24.568279864328868</v>
      </c>
      <c r="L225" s="12">
        <f>K161</f>
        <v>23.961806010275442</v>
      </c>
      <c r="M225" s="12">
        <v>0</v>
      </c>
    </row>
    <row r="226" spans="2:13" x14ac:dyDescent="0.2">
      <c r="B226" s="31" t="s">
        <v>82</v>
      </c>
      <c r="C226" s="11"/>
      <c r="D226" s="12">
        <f>C167</f>
        <v>64.688873181111504</v>
      </c>
      <c r="E226" s="29">
        <f>D167</f>
        <v>70.319470365807973</v>
      </c>
      <c r="F226" s="12">
        <f>E167</f>
        <v>68.166337044771979</v>
      </c>
      <c r="G226" s="29">
        <f>F167</f>
        <v>62.316742916343166</v>
      </c>
      <c r="H226" s="12">
        <f>G167</f>
        <v>65.24151137549508</v>
      </c>
      <c r="I226" s="29">
        <f>H167</f>
        <v>60.974338415201764</v>
      </c>
      <c r="J226" s="12">
        <f>I167</f>
        <v>61.70991799215259</v>
      </c>
      <c r="K226" s="29">
        <f>J167</f>
        <v>67.926136659704866</v>
      </c>
      <c r="L226" s="12">
        <f>K167</f>
        <v>66.409952024571282</v>
      </c>
      <c r="M226" s="12">
        <v>0</v>
      </c>
    </row>
    <row r="227" spans="2:13" x14ac:dyDescent="0.2">
      <c r="B227" s="31" t="s">
        <v>81</v>
      </c>
      <c r="C227" s="11"/>
      <c r="D227" s="12">
        <f>C170</f>
        <v>34.229255773968767</v>
      </c>
      <c r="E227" s="30">
        <f>D170</f>
        <v>35.969686144518271</v>
      </c>
      <c r="F227" s="12">
        <f>E170</f>
        <v>36.324432406970693</v>
      </c>
      <c r="G227" s="29">
        <f>F170</f>
        <v>36.729184758996418</v>
      </c>
      <c r="H227" s="12">
        <f>G170</f>
        <v>36.680625933276204</v>
      </c>
      <c r="I227" s="29">
        <f>H170</f>
        <v>34.431318610044485</v>
      </c>
      <c r="J227" s="12">
        <f>I170</f>
        <v>41.93157717736964</v>
      </c>
      <c r="K227" s="29">
        <f>J170</f>
        <v>35.319214370465836</v>
      </c>
      <c r="L227" s="12">
        <f>K170</f>
        <v>38.661262423467917</v>
      </c>
      <c r="M227" s="12">
        <v>0</v>
      </c>
    </row>
    <row r="228" spans="2:13" x14ac:dyDescent="0.2">
      <c r="B228" s="31" t="s">
        <v>80</v>
      </c>
      <c r="C228" s="11">
        <f>C8+C9</f>
        <v>127.88338993309333</v>
      </c>
      <c r="D228" s="12">
        <f>C228-D212</f>
        <v>115.09505093978399</v>
      </c>
      <c r="E228" s="30">
        <f>D228-E212</f>
        <v>102.30671194647465</v>
      </c>
      <c r="F228" s="12">
        <f>E228-F212</f>
        <v>89.518372953165311</v>
      </c>
      <c r="G228" s="29">
        <f>F228-G212</f>
        <v>76.730033959855973</v>
      </c>
      <c r="H228" s="12">
        <f>G228-H212</f>
        <v>63.941694966546642</v>
      </c>
      <c r="I228" s="29">
        <f>H228-I212</f>
        <v>51.153355973237311</v>
      </c>
      <c r="J228" s="12">
        <f>I228-J212</f>
        <v>38.365016979927979</v>
      </c>
      <c r="K228" s="29">
        <f>J228-K212</f>
        <v>25.576677986618648</v>
      </c>
      <c r="L228" s="12">
        <f>K228-L212</f>
        <v>12.788338993309315</v>
      </c>
      <c r="M228" s="12">
        <v>0</v>
      </c>
    </row>
    <row r="229" spans="2:13" x14ac:dyDescent="0.2">
      <c r="B229" s="28" t="s">
        <v>79</v>
      </c>
      <c r="C229" s="9">
        <f>C228</f>
        <v>127.88338993309333</v>
      </c>
      <c r="D229" s="22">
        <f>SUM(D223:D228)</f>
        <v>302.10350061943814</v>
      </c>
      <c r="E229" s="26">
        <f>SUM(E223:E228)</f>
        <v>282.13358200956242</v>
      </c>
      <c r="F229" s="22">
        <f>SUM(F223:F228)</f>
        <v>301.49818050502449</v>
      </c>
      <c r="G229" s="26">
        <f>SUM(G223:G228)</f>
        <v>355.38270858444594</v>
      </c>
      <c r="H229" s="22">
        <f>SUM(H223:H228)</f>
        <v>334.93941279235378</v>
      </c>
      <c r="I229" s="26">
        <f>SUM(I223:I228)</f>
        <v>338.42019925799053</v>
      </c>
      <c r="J229" s="22">
        <f>SUM(J223:J228)</f>
        <v>460.2110085560218</v>
      </c>
      <c r="K229" s="26">
        <f>SUM(K223:K228)</f>
        <v>312.19575405577211</v>
      </c>
      <c r="L229" s="22">
        <f>SUM(L223:L228)</f>
        <v>377.62570820983387</v>
      </c>
      <c r="M229" s="22">
        <f>SUM(M223:M228)</f>
        <v>422.55647013116027</v>
      </c>
    </row>
    <row r="230" spans="2:13" x14ac:dyDescent="0.2">
      <c r="B230" s="61" t="s">
        <v>78</v>
      </c>
      <c r="C230" s="5"/>
      <c r="D230" s="5"/>
      <c r="E230" s="7"/>
      <c r="F230" s="5"/>
      <c r="G230" s="7"/>
      <c r="H230" s="5"/>
      <c r="I230" s="7"/>
      <c r="J230" s="5"/>
      <c r="K230" s="7"/>
      <c r="L230" s="5"/>
      <c r="M230" s="5"/>
    </row>
    <row r="231" spans="2:13" x14ac:dyDescent="0.2">
      <c r="B231" s="32" t="s">
        <v>77</v>
      </c>
      <c r="C231" s="11"/>
      <c r="D231" s="12">
        <f>C175</f>
        <v>38.224467918724272</v>
      </c>
      <c r="E231" s="29">
        <f>D175</f>
        <v>42.209103306154645</v>
      </c>
      <c r="F231" s="12">
        <f>E175</f>
        <v>40.685383717729138</v>
      </c>
      <c r="G231" s="29">
        <f>F175</f>
        <v>36.545769569945101</v>
      </c>
      <c r="H231" s="12">
        <f>G175</f>
        <v>38.6155564007367</v>
      </c>
      <c r="I231" s="29">
        <f>H175</f>
        <v>35.595782862667953</v>
      </c>
      <c r="J231" s="12">
        <f>I175</f>
        <v>36.116334469619268</v>
      </c>
      <c r="K231" s="29">
        <f>J175</f>
        <v>40.515399802521323</v>
      </c>
      <c r="L231" s="12">
        <f>K175</f>
        <v>39.442433160998533</v>
      </c>
      <c r="M231" s="12">
        <f>L175</f>
        <v>37.19733717646335</v>
      </c>
    </row>
    <row r="232" spans="2:13" x14ac:dyDescent="0.2">
      <c r="B232" s="32" t="s">
        <v>75</v>
      </c>
      <c r="C232" s="11"/>
      <c r="D232" s="12">
        <f>C201</f>
        <v>-17.677185783959757</v>
      </c>
      <c r="E232" s="29">
        <f>D201</f>
        <v>-37.049764228189758</v>
      </c>
      <c r="F232" s="12">
        <f>E201</f>
        <v>-14.382722710580291</v>
      </c>
      <c r="G232" s="29">
        <f>F201</f>
        <v>38.838259274527893</v>
      </c>
      <c r="H232" s="12">
        <f>G201</f>
        <v>10.687778460101105</v>
      </c>
      <c r="I232" s="29">
        <f>H201</f>
        <v>15.296595599997733</v>
      </c>
      <c r="J232" s="12">
        <f>I201</f>
        <v>121.53635044810413</v>
      </c>
      <c r="K232" s="29">
        <f>J201</f>
        <v>-27.47955025593426</v>
      </c>
      <c r="L232" s="12">
        <f>K201</f>
        <v>34.728471245247768</v>
      </c>
      <c r="M232" s="12">
        <f>L201</f>
        <v>105.99337620299956</v>
      </c>
    </row>
    <row r="233" spans="2:13" x14ac:dyDescent="0.2">
      <c r="B233" s="33" t="s">
        <v>72</v>
      </c>
      <c r="C233" s="11"/>
      <c r="D233" s="11"/>
      <c r="F233" s="11"/>
      <c r="H233" s="11"/>
      <c r="J233" s="11"/>
      <c r="L233" s="11"/>
      <c r="M233" s="11"/>
    </row>
    <row r="234" spans="2:13" x14ac:dyDescent="0.2">
      <c r="B234" s="32" t="s">
        <v>71</v>
      </c>
      <c r="C234" s="11">
        <f>C229</f>
        <v>127.88338993309333</v>
      </c>
      <c r="D234" s="12">
        <f>C234+D214</f>
        <v>283.74237094195871</v>
      </c>
      <c r="E234" s="29">
        <f>D234+E214</f>
        <v>283.74237094195871</v>
      </c>
      <c r="F234" s="12">
        <f>E234+F214</f>
        <v>283.74237094195871</v>
      </c>
      <c r="G234" s="29">
        <f>F234+G214</f>
        <v>283.74237094195871</v>
      </c>
      <c r="H234" s="12">
        <f>G234+H214</f>
        <v>283.74237094195871</v>
      </c>
      <c r="I234" s="29">
        <f>H234+I214</f>
        <v>283.74237094195871</v>
      </c>
      <c r="J234" s="12">
        <f>I234+J214</f>
        <v>283.74237094195871</v>
      </c>
      <c r="K234" s="29">
        <f>J234+K214</f>
        <v>283.74237094195871</v>
      </c>
      <c r="L234" s="12">
        <f>K234+L214</f>
        <v>283.74237094195871</v>
      </c>
      <c r="M234" s="12">
        <f>L234+M214</f>
        <v>283.74237094195871</v>
      </c>
    </row>
    <row r="235" spans="2:13" x14ac:dyDescent="0.2">
      <c r="B235" s="32" t="s">
        <v>70</v>
      </c>
      <c r="C235" s="11"/>
      <c r="D235" s="12">
        <f>C199</f>
        <v>-1.9922721087949422</v>
      </c>
      <c r="E235" s="29">
        <f>D235+D199</f>
        <v>-6.1678921883343563</v>
      </c>
      <c r="F235" s="12">
        <f>E235+E199</f>
        <v>-7.7888683807564298</v>
      </c>
      <c r="G235" s="29">
        <f>F235+F199</f>
        <v>-3.4116795197896819</v>
      </c>
      <c r="H235" s="12">
        <f>G235+G199</f>
        <v>-1.7742813282466918</v>
      </c>
      <c r="I235" s="29">
        <f>H235+H199</f>
        <v>-5.0308907192891938E-2</v>
      </c>
      <c r="J235" s="12">
        <f>I235+I199</f>
        <v>13.647204043211065</v>
      </c>
      <c r="K235" s="29">
        <f>J235+J199</f>
        <v>10.550175918587076</v>
      </c>
      <c r="L235" s="12">
        <f>K235+K199</f>
        <v>14.464179283634913</v>
      </c>
      <c r="M235" s="12">
        <f>L235+L199</f>
        <v>26.409952197209122</v>
      </c>
    </row>
    <row r="236" spans="2:13" x14ac:dyDescent="0.2">
      <c r="B236" s="32" t="s">
        <v>69</v>
      </c>
      <c r="C236" s="11"/>
      <c r="D236" s="12">
        <f>C200</f>
        <v>-0.1938803484900902</v>
      </c>
      <c r="E236" s="29">
        <f>D236+D200</f>
        <v>-0.60023582202678571</v>
      </c>
      <c r="F236" s="12">
        <f>E236+E200</f>
        <v>-0.75798306332658272</v>
      </c>
      <c r="G236" s="29">
        <f>F236+F200</f>
        <v>-0.3320116821960733</v>
      </c>
      <c r="H236" s="12">
        <f>G236+G200</f>
        <v>3.6679883178039265</v>
      </c>
      <c r="I236" s="29">
        <f>H236+H200</f>
        <v>3.835758760559052</v>
      </c>
      <c r="J236" s="12">
        <f>I236+I200</f>
        <v>5.1687486531285831</v>
      </c>
      <c r="K236" s="29">
        <f>J236+J200</f>
        <v>4.86735764863929</v>
      </c>
      <c r="L236" s="12">
        <f>K236+K200</f>
        <v>5.248253577993971</v>
      </c>
      <c r="M236" s="12">
        <f>L236+L200</f>
        <v>6.4107707889928989</v>
      </c>
    </row>
    <row r="237" spans="2:13" x14ac:dyDescent="0.2">
      <c r="B237" s="32" t="s">
        <v>68</v>
      </c>
      <c r="C237" s="11"/>
      <c r="D237" s="12">
        <f>C202</f>
        <v>0</v>
      </c>
      <c r="E237" s="29">
        <f>D237+D202</f>
        <v>0</v>
      </c>
      <c r="F237" s="12">
        <f>E237+E202</f>
        <v>0</v>
      </c>
      <c r="G237" s="29">
        <f>F237+F202</f>
        <v>0</v>
      </c>
      <c r="H237" s="12">
        <f>G237+G202</f>
        <v>0</v>
      </c>
      <c r="I237" s="29">
        <f>H237+H202</f>
        <v>0</v>
      </c>
      <c r="J237" s="12">
        <f>I237+I202</f>
        <v>0</v>
      </c>
      <c r="K237" s="29">
        <f>J237+J202</f>
        <v>0</v>
      </c>
      <c r="L237" s="12">
        <f>K237+K202</f>
        <v>0</v>
      </c>
      <c r="M237" s="12">
        <f>L237+L202</f>
        <v>0</v>
      </c>
    </row>
    <row r="238" spans="2:13" x14ac:dyDescent="0.2">
      <c r="B238" s="32"/>
      <c r="C238" s="11"/>
      <c r="D238" s="11"/>
      <c r="F238" s="11"/>
      <c r="H238" s="11"/>
      <c r="J238" s="11"/>
      <c r="L238" s="11"/>
      <c r="M238" s="11"/>
    </row>
    <row r="239" spans="2:13" x14ac:dyDescent="0.2">
      <c r="B239" s="28" t="s">
        <v>66</v>
      </c>
      <c r="C239" s="9">
        <f>C234</f>
        <v>127.88338993309333</v>
      </c>
      <c r="D239" s="22">
        <f>SUM(D231:D237)</f>
        <v>302.10350061943814</v>
      </c>
      <c r="E239" s="26">
        <f>SUM(E231:E237)</f>
        <v>282.13358200956247</v>
      </c>
      <c r="F239" s="22">
        <f>SUM(F231:F237)</f>
        <v>301.49818050502455</v>
      </c>
      <c r="G239" s="26">
        <f>SUM(G231:G237)</f>
        <v>355.38270858444594</v>
      </c>
      <c r="H239" s="22">
        <f>SUM(H231:H237)</f>
        <v>334.93941279235378</v>
      </c>
      <c r="I239" s="26">
        <f>SUM(I231:I237)</f>
        <v>338.42019925799053</v>
      </c>
      <c r="J239" s="22">
        <f>SUM(J231:J237)</f>
        <v>460.21100855602174</v>
      </c>
      <c r="K239" s="26">
        <f>SUM(K231:K237)</f>
        <v>312.19575405577217</v>
      </c>
      <c r="L239" s="22">
        <f>SUM(L231:L237)</f>
        <v>377.62570820983393</v>
      </c>
      <c r="M239" s="22">
        <f>SUM(M231:M237)</f>
        <v>459.75380730762367</v>
      </c>
    </row>
    <row r="241" spans="2:12" ht="15.75" x14ac:dyDescent="0.25">
      <c r="B241" s="14" t="s">
        <v>123</v>
      </c>
    </row>
    <row r="243" spans="2:12" x14ac:dyDescent="0.2">
      <c r="B243" s="5"/>
      <c r="C243" s="36">
        <v>0</v>
      </c>
      <c r="D243" s="37">
        <v>1</v>
      </c>
      <c r="E243" s="36">
        <v>2</v>
      </c>
      <c r="F243" s="37">
        <v>3</v>
      </c>
      <c r="G243" s="36">
        <v>4</v>
      </c>
    </row>
    <row r="244" spans="2:12" x14ac:dyDescent="0.2">
      <c r="B244" s="35" t="s">
        <v>122</v>
      </c>
      <c r="C244" s="5"/>
      <c r="D244" s="7"/>
      <c r="E244" s="5"/>
      <c r="F244" s="7"/>
      <c r="G244" s="5"/>
    </row>
    <row r="245" spans="2:12" x14ac:dyDescent="0.2">
      <c r="B245" s="31" t="s">
        <v>73</v>
      </c>
      <c r="C245" s="11">
        <f>C31</f>
        <v>63.602847629666165</v>
      </c>
      <c r="D245">
        <f>C245-D246</f>
        <v>47.702135722249622</v>
      </c>
      <c r="E245" s="11">
        <f>D245-E246</f>
        <v>31.801423814833079</v>
      </c>
      <c r="F245">
        <f>E245-F246</f>
        <v>15.900711907416538</v>
      </c>
      <c r="G245" s="11">
        <f>F245-G246</f>
        <v>0</v>
      </c>
    </row>
    <row r="246" spans="2:12" x14ac:dyDescent="0.2">
      <c r="B246" s="31" t="s">
        <v>120</v>
      </c>
      <c r="C246" s="11"/>
      <c r="D246">
        <f>$C$31/$C$33</f>
        <v>15.900711907416541</v>
      </c>
      <c r="E246" s="11">
        <f>$C$31/$C$33</f>
        <v>15.900711907416541</v>
      </c>
      <c r="F246">
        <f>$C$31/$C$33</f>
        <v>15.900711907416541</v>
      </c>
      <c r="G246" s="11">
        <f>$C$31/$C$33</f>
        <v>15.900711907416541</v>
      </c>
    </row>
    <row r="247" spans="2:12" x14ac:dyDescent="0.2">
      <c r="B247" s="52" t="s">
        <v>119</v>
      </c>
      <c r="C247" s="9"/>
      <c r="D247" s="60">
        <f>C245*$C$32</f>
        <v>7.3450532704472158</v>
      </c>
      <c r="E247" s="9">
        <f>D245*$C$32</f>
        <v>5.5087899528354116</v>
      </c>
      <c r="F247" s="60">
        <f>E245*$C$32</f>
        <v>3.6725266352236079</v>
      </c>
      <c r="G247" s="9">
        <f>F245*$C$32</f>
        <v>1.8362633176118037</v>
      </c>
    </row>
    <row r="248" spans="2:12" x14ac:dyDescent="0.2">
      <c r="B248" s="35" t="s">
        <v>121</v>
      </c>
      <c r="C248" s="5"/>
      <c r="D248" s="7"/>
      <c r="E248" s="5"/>
      <c r="F248" s="7"/>
      <c r="G248" s="5"/>
    </row>
    <row r="249" spans="2:12" x14ac:dyDescent="0.2">
      <c r="B249" s="31" t="s">
        <v>120</v>
      </c>
      <c r="C249" s="11"/>
      <c r="D249" s="29">
        <f>D246/(1+$C$35)</f>
        <v>15.232333086930659</v>
      </c>
      <c r="E249" s="12">
        <f>E246/POWER(1+$C$35,2)</f>
        <v>14.592049250510598</v>
      </c>
      <c r="F249" s="29">
        <f>F246/POWER(1+$C$35,3)</f>
        <v>13.978679438937627</v>
      </c>
      <c r="G249" s="12">
        <f>G246/POWER(1+$C$35,4)</f>
        <v>13.391092334048976</v>
      </c>
    </row>
    <row r="250" spans="2:12" x14ac:dyDescent="0.2">
      <c r="B250" s="52" t="s">
        <v>119</v>
      </c>
      <c r="C250" s="9"/>
      <c r="D250" s="29">
        <f>D247/(1+$C$35)</f>
        <v>7.0363074690081202</v>
      </c>
      <c r="E250" s="12">
        <f>E247/POWER(1+$C$35,2)</f>
        <v>5.0554047372557367</v>
      </c>
      <c r="F250" s="29">
        <f>F247/POWER(1+$C$35,3)</f>
        <v>3.228602144587374</v>
      </c>
      <c r="G250" s="12">
        <f>G247/POWER(1+$C$35,4)</f>
        <v>1.5464446987620406</v>
      </c>
    </row>
    <row r="251" spans="2:12" x14ac:dyDescent="0.2">
      <c r="B251" s="35" t="s">
        <v>118</v>
      </c>
      <c r="C251" s="5">
        <v>0</v>
      </c>
      <c r="D251" s="59">
        <f>D246-D249</f>
        <v>0.66837882048588249</v>
      </c>
      <c r="E251" s="13">
        <f>E246-E249</f>
        <v>1.308662656905943</v>
      </c>
      <c r="F251" s="59">
        <f>F246-F249</f>
        <v>1.9220324684789141</v>
      </c>
      <c r="G251" s="13">
        <f>G246-G249</f>
        <v>2.5096195733675657</v>
      </c>
    </row>
    <row r="252" spans="2:12" x14ac:dyDescent="0.2">
      <c r="B252" s="52" t="s">
        <v>117</v>
      </c>
      <c r="C252" s="9">
        <f>C251</f>
        <v>0</v>
      </c>
      <c r="D252" s="26">
        <f>C252+D251</f>
        <v>0.66837882048588249</v>
      </c>
      <c r="E252" s="22">
        <f>D252+E251</f>
        <v>1.9770414773918255</v>
      </c>
      <c r="F252" s="26">
        <f>E252+F251</f>
        <v>3.8990739458707395</v>
      </c>
      <c r="G252" s="22">
        <f>F252+G251</f>
        <v>6.4086935192383052</v>
      </c>
    </row>
    <row r="254" spans="2:12" ht="15.75" x14ac:dyDescent="0.25">
      <c r="B254" s="14" t="s">
        <v>116</v>
      </c>
    </row>
    <row r="256" spans="2:12" x14ac:dyDescent="0.2">
      <c r="B256" s="58"/>
      <c r="C256" s="56">
        <v>1</v>
      </c>
      <c r="D256" s="57">
        <v>2</v>
      </c>
      <c r="E256" s="56">
        <v>3</v>
      </c>
      <c r="F256" s="57">
        <v>4</v>
      </c>
      <c r="G256" s="56">
        <v>5</v>
      </c>
      <c r="H256" s="57">
        <v>6</v>
      </c>
      <c r="I256" s="56">
        <v>7</v>
      </c>
      <c r="J256" s="57">
        <v>8</v>
      </c>
      <c r="K256" s="56">
        <v>9</v>
      </c>
      <c r="L256" s="55">
        <v>10</v>
      </c>
    </row>
    <row r="257" spans="2:13" x14ac:dyDescent="0.2">
      <c r="B257" s="54" t="s">
        <v>115</v>
      </c>
      <c r="C257" s="44">
        <f>C184</f>
        <v>832.91189049990669</v>
      </c>
      <c r="D257" s="44">
        <f>D184</f>
        <v>875.26236284994479</v>
      </c>
      <c r="E257" s="44">
        <f>E184</f>
        <v>883.89452190295367</v>
      </c>
      <c r="F257" s="44">
        <f>F184</f>
        <v>893.74349580224612</v>
      </c>
      <c r="G257" s="44">
        <f>G184</f>
        <v>892.56189770972105</v>
      </c>
      <c r="H257" s="44">
        <f>H184</f>
        <v>837.82875284441582</v>
      </c>
      <c r="I257" s="44">
        <f>I184</f>
        <v>1020.335044649328</v>
      </c>
      <c r="J257" s="44">
        <f>J184</f>
        <v>859.434216348002</v>
      </c>
      <c r="K257" s="44">
        <f>K184</f>
        <v>940.75738563771927</v>
      </c>
      <c r="L257" s="44">
        <f>L184</f>
        <v>1015.0865594800329</v>
      </c>
    </row>
    <row r="258" spans="2:13" x14ac:dyDescent="0.2">
      <c r="B258" s="35" t="s">
        <v>114</v>
      </c>
      <c r="C258" s="5"/>
      <c r="D258" s="7"/>
      <c r="E258" s="5"/>
      <c r="F258" s="7"/>
      <c r="G258" s="5"/>
      <c r="H258" s="7"/>
      <c r="I258" s="5"/>
      <c r="J258" s="7"/>
      <c r="K258" s="5"/>
      <c r="L258" s="49"/>
    </row>
    <row r="259" spans="2:13" x14ac:dyDescent="0.2">
      <c r="B259" s="31" t="s">
        <v>113</v>
      </c>
      <c r="C259" s="12">
        <f>C186</f>
        <v>697.59653951671805</v>
      </c>
      <c r="D259" s="12">
        <f>D186</f>
        <v>770.31613533732241</v>
      </c>
      <c r="E259" s="12">
        <f>E186</f>
        <v>742.50825284855671</v>
      </c>
      <c r="F259" s="12">
        <f>F186</f>
        <v>666.96029465149809</v>
      </c>
      <c r="G259" s="12">
        <f>G186</f>
        <v>704.73390431344478</v>
      </c>
      <c r="H259" s="12">
        <f>H186</f>
        <v>649.62303724369008</v>
      </c>
      <c r="I259" s="12">
        <f>I186</f>
        <v>659.12310407055156</v>
      </c>
      <c r="J259" s="12">
        <f>J186</f>
        <v>739.40604639601418</v>
      </c>
      <c r="K259" s="12">
        <f>K186</f>
        <v>719.82440518822318</v>
      </c>
      <c r="L259" s="12">
        <f>L186</f>
        <v>678.85140347045615</v>
      </c>
    </row>
    <row r="260" spans="2:13" x14ac:dyDescent="0.2">
      <c r="B260" s="31" t="s">
        <v>112</v>
      </c>
      <c r="C260" s="12">
        <f>C187</f>
        <v>117.16175526793737</v>
      </c>
      <c r="D260" s="12">
        <f>D187</f>
        <v>117.16175526793737</v>
      </c>
      <c r="E260" s="12">
        <f>E187</f>
        <v>117.16175526793737</v>
      </c>
      <c r="F260" s="12">
        <f>F187</f>
        <v>117.16175526793737</v>
      </c>
      <c r="G260" s="12">
        <f>G187</f>
        <v>117.16175526793737</v>
      </c>
      <c r="H260" s="12">
        <f>H187</f>
        <v>117.16175526793737</v>
      </c>
      <c r="I260" s="12">
        <f>I187</f>
        <v>117.16175526793737</v>
      </c>
      <c r="J260" s="12">
        <f>J187</f>
        <v>117.16175526793737</v>
      </c>
      <c r="K260" s="12">
        <f>K187</f>
        <v>117.16175526793737</v>
      </c>
      <c r="L260" s="12">
        <f>L187</f>
        <v>117.16175526793737</v>
      </c>
    </row>
    <row r="261" spans="2:13" x14ac:dyDescent="0.2">
      <c r="B261" s="31" t="s">
        <v>111</v>
      </c>
      <c r="C261" s="12">
        <f>C188</f>
        <v>20.703479075903541</v>
      </c>
      <c r="D261" s="12">
        <f>D188</f>
        <v>20.703479075903541</v>
      </c>
      <c r="E261" s="12">
        <f>E188</f>
        <v>20.703479075903541</v>
      </c>
      <c r="F261" s="12">
        <f>F188</f>
        <v>20.703479075903541</v>
      </c>
      <c r="G261" s="12">
        <f>G188</f>
        <v>20.703479075903541</v>
      </c>
      <c r="H261" s="12">
        <f>H188</f>
        <v>20.703479075903541</v>
      </c>
      <c r="I261" s="12">
        <f>I188</f>
        <v>20.703479075903541</v>
      </c>
      <c r="J261" s="12">
        <f>J188</f>
        <v>20.703479075903541</v>
      </c>
      <c r="K261" s="12">
        <f>K188</f>
        <v>20.703479075903541</v>
      </c>
      <c r="L261" s="12">
        <f>L188</f>
        <v>20.703479075903541</v>
      </c>
    </row>
    <row r="262" spans="2:13" x14ac:dyDescent="0.2">
      <c r="B262" s="52" t="s">
        <v>110</v>
      </c>
      <c r="C262" s="22">
        <f>C189</f>
        <v>835.46177386055888</v>
      </c>
      <c r="D262" s="22">
        <f>D189</f>
        <v>908.18136968116323</v>
      </c>
      <c r="E262" s="22">
        <f>E189</f>
        <v>880.37348719239753</v>
      </c>
      <c r="F262" s="22">
        <f>F189</f>
        <v>804.82552899533891</v>
      </c>
      <c r="G262" s="22">
        <f>G189</f>
        <v>842.59913865728561</v>
      </c>
      <c r="H262" s="22">
        <f>H189</f>
        <v>787.4882715875309</v>
      </c>
      <c r="I262" s="22">
        <f>I189</f>
        <v>796.98833841439239</v>
      </c>
      <c r="J262" s="22">
        <f>J189</f>
        <v>877.271280739855</v>
      </c>
      <c r="K262" s="22">
        <f>K189</f>
        <v>857.68963953206401</v>
      </c>
      <c r="L262" s="22">
        <f>L189</f>
        <v>816.71663781429697</v>
      </c>
    </row>
    <row r="263" spans="2:13" x14ac:dyDescent="0.2">
      <c r="B263" s="35" t="s">
        <v>109</v>
      </c>
      <c r="C263" s="12">
        <f>C190</f>
        <v>-2.5498833606521885</v>
      </c>
      <c r="D263" s="12">
        <f>D190</f>
        <v>-32.919006831218439</v>
      </c>
      <c r="E263" s="12">
        <f>E190</f>
        <v>3.5210347105561368</v>
      </c>
      <c r="F263" s="12">
        <f>F190</f>
        <v>88.917966806907202</v>
      </c>
      <c r="G263" s="12">
        <f>G190</f>
        <v>49.962759052435445</v>
      </c>
      <c r="H263" s="12">
        <f>H190</f>
        <v>50.340481256884914</v>
      </c>
      <c r="I263" s="12">
        <f>I190</f>
        <v>223.3467062349356</v>
      </c>
      <c r="J263" s="12">
        <f>J190</f>
        <v>-17.837064391853005</v>
      </c>
      <c r="K263" s="12">
        <f>K190</f>
        <v>83.06774610565526</v>
      </c>
      <c r="L263" s="12">
        <f>L190</f>
        <v>198.36992166573589</v>
      </c>
    </row>
    <row r="264" spans="2:13" x14ac:dyDescent="0.2">
      <c r="B264" s="31" t="s">
        <v>108</v>
      </c>
      <c r="C264" s="12">
        <f>C191</f>
        <v>8.6355755698979131</v>
      </c>
      <c r="D264" s="12">
        <f>D191</f>
        <v>9.0746624752128593</v>
      </c>
      <c r="E264" s="12">
        <f>E191</f>
        <v>9.1641601311880869</v>
      </c>
      <c r="F264" s="12">
        <f>F191</f>
        <v>9.2662736432694732</v>
      </c>
      <c r="G264" s="12">
        <f>G191</f>
        <v>9.2540229121445723</v>
      </c>
      <c r="H264" s="12">
        <f>H191</f>
        <v>8.686553274535207</v>
      </c>
      <c r="I264" s="12">
        <f>I191</f>
        <v>10.578766476002686</v>
      </c>
      <c r="J264" s="12">
        <f>J191</f>
        <v>8.9105572957719641</v>
      </c>
      <c r="K264" s="12">
        <f>K191</f>
        <v>9.7537105536315174</v>
      </c>
      <c r="L264" s="12">
        <f>L191</f>
        <v>10.52435052778068</v>
      </c>
    </row>
    <row r="265" spans="2:13" x14ac:dyDescent="0.2">
      <c r="B265" s="52" t="s">
        <v>107</v>
      </c>
      <c r="C265" s="22">
        <f>C192</f>
        <v>4.3395703265724768</v>
      </c>
      <c r="D265" s="22">
        <f>D192</f>
        <v>4.5602213404705365</v>
      </c>
      <c r="E265" s="22">
        <f>E192</f>
        <v>4.6051959190639673</v>
      </c>
      <c r="F265" s="22">
        <f>F192</f>
        <v>4.6565102481881482</v>
      </c>
      <c r="G265" s="22">
        <f>G192</f>
        <v>4.6503539811462904</v>
      </c>
      <c r="H265" s="22">
        <f>H192</f>
        <v>4.3651877660320899</v>
      </c>
      <c r="I265" s="22">
        <f>I192</f>
        <v>5.3160673216763534</v>
      </c>
      <c r="J265" s="22">
        <f>J192</f>
        <v>4.4777548086945913</v>
      </c>
      <c r="K265" s="22">
        <f>K192</f>
        <v>4.9014582235908239</v>
      </c>
      <c r="L265" s="22">
        <f>L192</f>
        <v>5.2887220877327499</v>
      </c>
    </row>
    <row r="266" spans="2:13" x14ac:dyDescent="0.2">
      <c r="B266" s="35" t="s">
        <v>106</v>
      </c>
      <c r="C266" s="12">
        <f>C193</f>
        <v>-15.525029257122579</v>
      </c>
      <c r="D266" s="12">
        <f>D193</f>
        <v>-46.553890646901834</v>
      </c>
      <c r="E266" s="12">
        <f>E193</f>
        <v>-10.248321339695917</v>
      </c>
      <c r="F266" s="12">
        <f>F193</f>
        <v>74.995182915449575</v>
      </c>
      <c r="G266" s="12">
        <f>G193</f>
        <v>36.058382159144585</v>
      </c>
      <c r="H266" s="12">
        <f>H193</f>
        <v>37.28874021631762</v>
      </c>
      <c r="I266" s="12">
        <f>I193</f>
        <v>207.45187243725655</v>
      </c>
      <c r="J266" s="12">
        <f>J193</f>
        <v>-31.225376496319562</v>
      </c>
      <c r="K266" s="12">
        <f>K193</f>
        <v>68.412577328432917</v>
      </c>
      <c r="L266" s="12">
        <f>L193</f>
        <v>182.55684905022247</v>
      </c>
    </row>
    <row r="267" spans="2:13" x14ac:dyDescent="0.2">
      <c r="B267" s="31" t="s">
        <v>105</v>
      </c>
      <c r="C267" s="12">
        <f>D250</f>
        <v>7.0363074690081202</v>
      </c>
      <c r="D267" s="12">
        <f>E250</f>
        <v>5.0554047372557367</v>
      </c>
      <c r="E267" s="12">
        <f>F250</f>
        <v>3.228602144587374</v>
      </c>
      <c r="F267" s="12">
        <f>G250</f>
        <v>1.5464446987620406</v>
      </c>
      <c r="G267" s="12">
        <f>H250</f>
        <v>0</v>
      </c>
      <c r="H267" s="12">
        <f>I250</f>
        <v>0</v>
      </c>
      <c r="I267" s="12">
        <f>J250</f>
        <v>0</v>
      </c>
      <c r="J267" s="12">
        <f>K250</f>
        <v>0</v>
      </c>
      <c r="K267" s="12">
        <f>L250</f>
        <v>0</v>
      </c>
      <c r="L267" s="12">
        <f>M250</f>
        <v>0</v>
      </c>
      <c r="M267" s="29"/>
    </row>
    <row r="268" spans="2:13" x14ac:dyDescent="0.2">
      <c r="B268" s="52" t="s">
        <v>92</v>
      </c>
      <c r="C268" s="22">
        <f>C195</f>
        <v>12.788338993309333</v>
      </c>
      <c r="D268" s="22">
        <f>D195</f>
        <v>12.788338993309333</v>
      </c>
      <c r="E268" s="22">
        <f>E195</f>
        <v>12.788338993309333</v>
      </c>
      <c r="F268" s="22">
        <f>F195</f>
        <v>12.788338993309333</v>
      </c>
      <c r="G268" s="22">
        <f>G195</f>
        <v>12.788338993309333</v>
      </c>
      <c r="H268" s="22">
        <f>H195</f>
        <v>12.788338993309333</v>
      </c>
      <c r="I268" s="22">
        <f>I195</f>
        <v>12.788338993309333</v>
      </c>
      <c r="J268" s="22">
        <f>J195</f>
        <v>12.788338993309333</v>
      </c>
      <c r="K268" s="22">
        <f>K195</f>
        <v>12.788338993309333</v>
      </c>
      <c r="L268" s="22">
        <f>L195</f>
        <v>12.788338993309333</v>
      </c>
    </row>
    <row r="269" spans="2:13" x14ac:dyDescent="0.2">
      <c r="B269" s="35" t="s">
        <v>104</v>
      </c>
      <c r="C269" s="13">
        <f>C266-C267-C268</f>
        <v>-35.349675719440029</v>
      </c>
      <c r="D269" s="13">
        <f>D266-D267-D268</f>
        <v>-64.3976343774669</v>
      </c>
      <c r="E269" s="13">
        <f>E266-E267-E268</f>
        <v>-26.265262477592621</v>
      </c>
      <c r="F269" s="13">
        <f>F266-F267-F268</f>
        <v>60.660399223378199</v>
      </c>
      <c r="G269" s="13">
        <f>G266-G267-G268</f>
        <v>23.270043165835254</v>
      </c>
      <c r="H269" s="13">
        <f>H266-H267-H268</f>
        <v>24.500401223008289</v>
      </c>
      <c r="I269" s="13">
        <f>I266-I267-I268</f>
        <v>194.66353344394722</v>
      </c>
      <c r="J269" s="13">
        <f>J266-J267-J268</f>
        <v>-44.013715489628893</v>
      </c>
      <c r="K269" s="13">
        <f>K266-K267-K268</f>
        <v>55.624238335123586</v>
      </c>
      <c r="L269" s="13">
        <f>L266-L267-L268</f>
        <v>169.76851005691313</v>
      </c>
    </row>
    <row r="270" spans="2:13" x14ac:dyDescent="0.2">
      <c r="B270" s="52" t="s">
        <v>103</v>
      </c>
      <c r="C270" s="22">
        <f>C269*$C$25</f>
        <v>-10.549992427684582</v>
      </c>
      <c r="D270" s="22">
        <f>D269*$C$25</f>
        <v>-19.219258485855168</v>
      </c>
      <c r="E270" s="22">
        <f>E269*$C$25</f>
        <v>-7.8387796948689976</v>
      </c>
      <c r="F270" s="22">
        <f>F269*$C$25</f>
        <v>18.103893160044564</v>
      </c>
      <c r="G270" s="22">
        <f>G269*$C$25</f>
        <v>6.9448665141911574</v>
      </c>
      <c r="H270" s="22">
        <f>H269*$C$25</f>
        <v>7.3120627592016296</v>
      </c>
      <c r="I270" s="22">
        <f>I269*$C$25</f>
        <v>58.096680152869588</v>
      </c>
      <c r="J270" s="22">
        <f>J269*$C$25</f>
        <v>-13.135746104581353</v>
      </c>
      <c r="K270" s="22">
        <f>K269*$C$25</f>
        <v>16.600867795473295</v>
      </c>
      <c r="L270" s="22">
        <f>L269*$C$25</f>
        <v>50.666843729340421</v>
      </c>
    </row>
    <row r="271" spans="2:13" x14ac:dyDescent="0.2">
      <c r="B271" s="54" t="s">
        <v>93</v>
      </c>
      <c r="C271" s="44">
        <f>C269-C270</f>
        <v>-24.799683291755446</v>
      </c>
      <c r="D271" s="44">
        <f>D269-D270</f>
        <v>-45.178375891611736</v>
      </c>
      <c r="E271" s="44">
        <f>E269-E270</f>
        <v>-18.426482782723625</v>
      </c>
      <c r="F271" s="44">
        <f>F269-F270</f>
        <v>42.556506063333636</v>
      </c>
      <c r="G271" s="44">
        <f>G269-G270</f>
        <v>16.325176651644096</v>
      </c>
      <c r="H271" s="44">
        <f>H269-H270</f>
        <v>17.188338463806659</v>
      </c>
      <c r="I271" s="44">
        <f>I269-I270</f>
        <v>136.56685329107762</v>
      </c>
      <c r="J271" s="44">
        <f>J269-J270</f>
        <v>-30.877969385047543</v>
      </c>
      <c r="K271" s="44">
        <f>K269-K270</f>
        <v>39.023370539650287</v>
      </c>
      <c r="L271" s="44">
        <f>L269-L270</f>
        <v>119.1016663275727</v>
      </c>
    </row>
    <row r="272" spans="2:13" x14ac:dyDescent="0.2">
      <c r="B272" s="35" t="s">
        <v>102</v>
      </c>
      <c r="C272" s="13">
        <f>C271*$C$27</f>
        <v>-2.4873823689172623</v>
      </c>
      <c r="D272" s="13">
        <f>D271*$C$27</f>
        <v>-4.5313439823834623</v>
      </c>
      <c r="E272" s="13">
        <f>E271*$C$27</f>
        <v>-1.8481570048977791</v>
      </c>
      <c r="F272" s="13">
        <f>F271*$C$27</f>
        <v>4.2683731731302998</v>
      </c>
      <c r="G272" s="13">
        <f>G271*$C$27</f>
        <v>1.63739819154299</v>
      </c>
      <c r="H272" s="13">
        <f>H271*$C$27</f>
        <v>1.7239724210537999</v>
      </c>
      <c r="I272" s="13">
        <f>I271*$C$27</f>
        <v>13.697512950403958</v>
      </c>
      <c r="J272" s="13">
        <f>J271*$C$27</f>
        <v>-3.0970281246239897</v>
      </c>
      <c r="K272" s="13">
        <f>K271*$C$27</f>
        <v>3.9140033650478374</v>
      </c>
      <c r="L272" s="13">
        <f>L271*$C$27</f>
        <v>11.945772913574212</v>
      </c>
    </row>
    <row r="273" spans="2:13" ht="15" x14ac:dyDescent="0.25">
      <c r="B273" s="31" t="s">
        <v>101</v>
      </c>
      <c r="C273" s="53">
        <v>5</v>
      </c>
      <c r="D273" s="12">
        <f>D271*$C$28</f>
        <v>-0.44097317156358579</v>
      </c>
      <c r="E273" s="12">
        <f>E271*$C$28</f>
        <v>-0.17985561439733208</v>
      </c>
      <c r="F273" s="12">
        <f>F271*$C$28</f>
        <v>0.41538185202663591</v>
      </c>
      <c r="G273" s="53">
        <v>4</v>
      </c>
      <c r="H273" s="12">
        <f>H271*$C$28</f>
        <v>0.16777044275512562</v>
      </c>
      <c r="I273" s="12">
        <f>I271*$C$28</f>
        <v>1.3329898925695309</v>
      </c>
      <c r="J273" s="12">
        <f>J271*$C$28</f>
        <v>-0.30139100448929296</v>
      </c>
      <c r="K273" s="12">
        <f>K271*$C$28</f>
        <v>0.38089592935468136</v>
      </c>
      <c r="L273" s="12">
        <f>L271*$C$28</f>
        <v>1.1625172109989275</v>
      </c>
    </row>
    <row r="274" spans="2:13" x14ac:dyDescent="0.2">
      <c r="B274" s="31" t="s">
        <v>75</v>
      </c>
      <c r="C274" s="12">
        <f>C271-C272-C273</f>
        <v>-27.312300922838183</v>
      </c>
      <c r="D274" s="12">
        <f>D271-D272-D273</f>
        <v>-40.206058737664691</v>
      </c>
      <c r="E274" s="12">
        <f>E271-E272-E273</f>
        <v>-16.398470163428513</v>
      </c>
      <c r="F274" s="12">
        <f>F271-F272-F273</f>
        <v>37.872751038176702</v>
      </c>
      <c r="G274" s="12">
        <f>G271-G272-G273</f>
        <v>10.687778460101105</v>
      </c>
      <c r="H274" s="12">
        <f>H271-H272-H273</f>
        <v>15.296595599997733</v>
      </c>
      <c r="I274" s="12">
        <f>I271-I272-I273</f>
        <v>121.53635044810413</v>
      </c>
      <c r="J274" s="12">
        <f>J271-J272-J273</f>
        <v>-27.47955025593426</v>
      </c>
      <c r="K274" s="12">
        <f>K271-K272-K273</f>
        <v>34.728471245247768</v>
      </c>
      <c r="L274" s="12">
        <f>L271-L272-L273</f>
        <v>105.99337620299956</v>
      </c>
    </row>
    <row r="275" spans="2:13" x14ac:dyDescent="0.2">
      <c r="B275" s="52" t="s">
        <v>100</v>
      </c>
      <c r="C275" s="22">
        <v>0</v>
      </c>
      <c r="D275" s="22">
        <v>0</v>
      </c>
      <c r="E275" s="22">
        <v>0</v>
      </c>
      <c r="F275" s="22">
        <v>0</v>
      </c>
      <c r="G275" s="22">
        <v>0</v>
      </c>
      <c r="H275" s="22">
        <v>0</v>
      </c>
      <c r="I275" s="22">
        <v>0</v>
      </c>
      <c r="J275" s="22">
        <v>0</v>
      </c>
      <c r="K275" s="22">
        <v>0</v>
      </c>
      <c r="L275" s="22">
        <v>0</v>
      </c>
    </row>
    <row r="277" spans="2:13" ht="15.75" x14ac:dyDescent="0.25">
      <c r="B277" s="14" t="s">
        <v>99</v>
      </c>
    </row>
    <row r="279" spans="2:13" x14ac:dyDescent="0.2">
      <c r="B279" s="51"/>
      <c r="C279" s="36">
        <v>0</v>
      </c>
      <c r="D279" s="37">
        <v>1</v>
      </c>
      <c r="E279" s="36">
        <v>2</v>
      </c>
      <c r="F279" s="37">
        <v>3</v>
      </c>
      <c r="G279" s="36">
        <v>4</v>
      </c>
      <c r="H279" s="37">
        <v>5</v>
      </c>
      <c r="I279" s="36">
        <v>6</v>
      </c>
      <c r="J279" s="37">
        <v>7</v>
      </c>
      <c r="K279" s="36">
        <v>8</v>
      </c>
      <c r="L279" s="50">
        <v>9</v>
      </c>
      <c r="M279" s="50">
        <v>10</v>
      </c>
    </row>
    <row r="280" spans="2:13" x14ac:dyDescent="0.2">
      <c r="B280" s="5" t="s">
        <v>98</v>
      </c>
      <c r="C280" s="5"/>
      <c r="D280" s="5"/>
      <c r="E280" s="5"/>
      <c r="F280" s="7"/>
      <c r="G280" s="5"/>
      <c r="H280" s="7"/>
      <c r="I280" s="5"/>
      <c r="J280" s="7"/>
      <c r="K280" s="5"/>
      <c r="L280" s="5"/>
      <c r="M280" s="49"/>
    </row>
    <row r="281" spans="2:13" x14ac:dyDescent="0.2">
      <c r="B281" s="11" t="s">
        <v>97</v>
      </c>
      <c r="C281" s="11">
        <f>(C8+C9)-C31</f>
        <v>64.280542303427154</v>
      </c>
      <c r="D281" s="11"/>
      <c r="E281" s="11"/>
      <c r="F281" s="11"/>
      <c r="G281" s="19"/>
      <c r="I281" s="11"/>
      <c r="K281" s="11"/>
      <c r="L281" s="11"/>
      <c r="M281" s="19"/>
    </row>
    <row r="282" spans="2:13" x14ac:dyDescent="0.2">
      <c r="B282" s="11" t="s">
        <v>96</v>
      </c>
      <c r="C282" s="12"/>
      <c r="D282" s="12">
        <f>D249</f>
        <v>15.232333086930659</v>
      </c>
      <c r="E282" s="12">
        <f>E249</f>
        <v>14.592049250510598</v>
      </c>
      <c r="F282" s="12">
        <f>F249</f>
        <v>13.978679438937627</v>
      </c>
      <c r="G282" s="12">
        <f>G249</f>
        <v>13.391092334048976</v>
      </c>
      <c r="H282" s="12"/>
      <c r="I282" s="12"/>
      <c r="J282" s="29"/>
      <c r="K282" s="12"/>
      <c r="L282" s="12"/>
      <c r="M282" s="34"/>
    </row>
    <row r="283" spans="2:13" ht="15" x14ac:dyDescent="0.25">
      <c r="B283" s="41" t="s">
        <v>95</v>
      </c>
      <c r="C283" s="12"/>
      <c r="D283" s="12">
        <f>D209</f>
        <v>148.78398176092992</v>
      </c>
      <c r="E283" s="12">
        <f>E209</f>
        <v>12.395347663329915</v>
      </c>
      <c r="F283" s="12">
        <f>F209</f>
        <v>-3.7196807838156758</v>
      </c>
      <c r="G283" s="12">
        <f>G209</f>
        <v>-10.664578234105136</v>
      </c>
      <c r="H283" s="12">
        <f>H209</f>
        <v>5.4860523372831551</v>
      </c>
      <c r="I283" s="12">
        <f>I209</f>
        <v>-10.324183481925559</v>
      </c>
      <c r="J283" s="30">
        <f>J209</f>
        <v>8.8922138604459633</v>
      </c>
      <c r="K283" s="12">
        <f>K209</f>
        <v>5.1507403958300699</v>
      </c>
      <c r="L283" s="12">
        <f>L209</f>
        <v>0.47293464317758094</v>
      </c>
      <c r="M283" s="34">
        <f>M209</f>
        <v>-156.47282816115023</v>
      </c>
    </row>
    <row r="284" spans="2:13" ht="15" x14ac:dyDescent="0.25">
      <c r="B284" s="40" t="s">
        <v>94</v>
      </c>
      <c r="C284" s="22">
        <f>C281</f>
        <v>64.280542303427154</v>
      </c>
      <c r="D284" s="22">
        <f>SUM(D282:D283)</f>
        <v>164.01631484786057</v>
      </c>
      <c r="E284" s="22">
        <f>SUM(E282:E283)</f>
        <v>26.987396913840513</v>
      </c>
      <c r="F284" s="22">
        <f>SUM(F282:F283)</f>
        <v>10.258998655121951</v>
      </c>
      <c r="G284" s="22">
        <f>SUM(G282:G283)</f>
        <v>2.7265140999438398</v>
      </c>
      <c r="H284" s="22">
        <f>SUM(H282:H283)</f>
        <v>5.4860523372831551</v>
      </c>
      <c r="I284" s="22">
        <f>SUM(I282:I283)</f>
        <v>-10.324183481925559</v>
      </c>
      <c r="J284" s="27">
        <f>SUM(J282:J283)</f>
        <v>8.8922138604459633</v>
      </c>
      <c r="K284" s="22">
        <f>SUM(K282:K283)</f>
        <v>5.1507403958300699</v>
      </c>
      <c r="L284" s="22">
        <f>SUM(L282:L283)</f>
        <v>0.47293464317758094</v>
      </c>
      <c r="M284" s="39">
        <f>SUM(M282:M283)</f>
        <v>-156.47282816115023</v>
      </c>
    </row>
    <row r="285" spans="2:13" ht="15" x14ac:dyDescent="0.25">
      <c r="B285" s="42" t="s">
        <v>93</v>
      </c>
      <c r="C285" s="13"/>
      <c r="D285" s="13">
        <f>C271</f>
        <v>-24.799683291755446</v>
      </c>
      <c r="E285" s="13">
        <f>D271</f>
        <v>-45.178375891611736</v>
      </c>
      <c r="F285" s="13">
        <f>E271</f>
        <v>-18.426482782723625</v>
      </c>
      <c r="G285" s="13">
        <f>F271</f>
        <v>42.556506063333636</v>
      </c>
      <c r="H285" s="13">
        <f>G271</f>
        <v>16.325176651644096</v>
      </c>
      <c r="I285" s="13">
        <f>H271</f>
        <v>17.188338463806659</v>
      </c>
      <c r="J285" s="48">
        <f>I271</f>
        <v>136.56685329107762</v>
      </c>
      <c r="K285" s="13">
        <f>J271</f>
        <v>-30.877969385047543</v>
      </c>
      <c r="L285" s="13">
        <f>K271</f>
        <v>39.023370539650287</v>
      </c>
      <c r="M285" s="47">
        <f>L271</f>
        <v>119.1016663275727</v>
      </c>
    </row>
    <row r="286" spans="2:13" ht="15" x14ac:dyDescent="0.25">
      <c r="B286" s="40" t="s">
        <v>92</v>
      </c>
      <c r="C286" s="22"/>
      <c r="D286" s="22">
        <f>D212</f>
        <v>12.788338993309333</v>
      </c>
      <c r="E286" s="22">
        <f>E212</f>
        <v>12.788338993309333</v>
      </c>
      <c r="F286" s="22">
        <f>F212</f>
        <v>12.788338993309333</v>
      </c>
      <c r="G286" s="22">
        <f>G212</f>
        <v>12.788338993309333</v>
      </c>
      <c r="H286" s="22">
        <f>H212</f>
        <v>12.788338993309333</v>
      </c>
      <c r="I286" s="22">
        <f>I212</f>
        <v>12.788338993309333</v>
      </c>
      <c r="J286" s="27">
        <f>J212</f>
        <v>12.788338993309333</v>
      </c>
      <c r="K286" s="22">
        <f>K212</f>
        <v>12.788338993309333</v>
      </c>
      <c r="L286" s="22">
        <f>L212</f>
        <v>12.788338993309333</v>
      </c>
      <c r="M286" s="39">
        <f>M212</f>
        <v>12.788338993309333</v>
      </c>
    </row>
    <row r="287" spans="2:13" ht="15" x14ac:dyDescent="0.25">
      <c r="B287" s="46" t="s">
        <v>91</v>
      </c>
      <c r="C287" s="44">
        <f>-C284</f>
        <v>-64.280542303427154</v>
      </c>
      <c r="D287" s="44">
        <f>-D284+D285+D286</f>
        <v>-176.02765914630669</v>
      </c>
      <c r="E287" s="44">
        <f>-E284+E285+E286</f>
        <v>-59.377433812142918</v>
      </c>
      <c r="F287" s="44">
        <f>-F284+F285+F286</f>
        <v>-15.897142444536241</v>
      </c>
      <c r="G287" s="44">
        <f>-G284+G285+G286</f>
        <v>52.618330956699126</v>
      </c>
      <c r="H287" s="44">
        <f>-H284+H285+H286</f>
        <v>23.627463307670276</v>
      </c>
      <c r="I287" s="44">
        <f>-I284+I285+I286</f>
        <v>40.300860939041549</v>
      </c>
      <c r="J287" s="45">
        <f>-J284+J285+J286</f>
        <v>140.462978423941</v>
      </c>
      <c r="K287" s="44">
        <f>-K284+K285+K286</f>
        <v>-23.240370787568281</v>
      </c>
      <c r="L287" s="44">
        <f>-L284+L285+L286</f>
        <v>51.338774889782037</v>
      </c>
      <c r="M287" s="43">
        <f>-M284+M285+M286</f>
        <v>288.36283348203227</v>
      </c>
    </row>
    <row r="288" spans="2:13" ht="15" x14ac:dyDescent="0.25">
      <c r="B288" s="42" t="s">
        <v>90</v>
      </c>
      <c r="C288" s="13">
        <f>-C287</f>
        <v>64.280542303427154</v>
      </c>
      <c r="D288" s="13">
        <f>-D287</f>
        <v>176.02765914630669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</row>
    <row r="289" spans="2:13" ht="15" x14ac:dyDescent="0.25">
      <c r="B289" s="41" t="s">
        <v>75</v>
      </c>
      <c r="C289" s="12">
        <v>0</v>
      </c>
      <c r="D289" s="12">
        <v>0</v>
      </c>
      <c r="E289" s="12">
        <f>C274</f>
        <v>-27.312300922838183</v>
      </c>
      <c r="F289" s="12">
        <f>D274</f>
        <v>-40.206058737664691</v>
      </c>
      <c r="G289" s="12">
        <f>E274</f>
        <v>-16.398470163428513</v>
      </c>
      <c r="H289" s="12">
        <f>F274</f>
        <v>37.872751038176702</v>
      </c>
      <c r="I289" s="12">
        <f>I287</f>
        <v>40.300860939041549</v>
      </c>
      <c r="J289" s="30">
        <f>H274</f>
        <v>15.296595599997733</v>
      </c>
      <c r="K289" s="12">
        <f>I274</f>
        <v>121.53635044810413</v>
      </c>
      <c r="L289" s="12">
        <f>J274</f>
        <v>-27.47955025593426</v>
      </c>
      <c r="M289" s="34">
        <f>K274</f>
        <v>34.728471245247768</v>
      </c>
    </row>
    <row r="290" spans="2:13" ht="15" x14ac:dyDescent="0.25">
      <c r="B290" s="41" t="s">
        <v>89</v>
      </c>
      <c r="C290" s="12">
        <v>0</v>
      </c>
      <c r="D290" s="12">
        <v>0</v>
      </c>
      <c r="E290" s="12">
        <v>0</v>
      </c>
      <c r="F290" s="12">
        <f>F287-F289</f>
        <v>24.308916293128448</v>
      </c>
      <c r="G290" s="12">
        <f>G287-G289</f>
        <v>69.016801120127639</v>
      </c>
      <c r="H290" s="12">
        <f>H287-H289</f>
        <v>-14.245287730506426</v>
      </c>
      <c r="I290" s="12">
        <f>I287-I289</f>
        <v>0</v>
      </c>
      <c r="J290" s="30">
        <f>J287-J289</f>
        <v>125.16638282394327</v>
      </c>
      <c r="K290" s="12">
        <f>K287-K289</f>
        <v>-144.77672123567243</v>
      </c>
      <c r="L290" s="12">
        <f>L287-L289</f>
        <v>78.818325145716301</v>
      </c>
      <c r="M290" s="34">
        <f>M287-M289</f>
        <v>253.63436223678451</v>
      </c>
    </row>
    <row r="291" spans="2:13" ht="15" x14ac:dyDescent="0.25">
      <c r="B291" s="40" t="s">
        <v>88</v>
      </c>
      <c r="C291" s="22">
        <v>0</v>
      </c>
      <c r="D291" s="22">
        <v>0</v>
      </c>
      <c r="E291" s="22">
        <v>0</v>
      </c>
      <c r="F291" s="22">
        <f>F290+E291</f>
        <v>24.308916293128448</v>
      </c>
      <c r="G291" s="22">
        <f>G290+F291</f>
        <v>93.325717413256086</v>
      </c>
      <c r="H291" s="22">
        <f>H290+G291</f>
        <v>79.080429682749667</v>
      </c>
      <c r="I291" s="22">
        <f>I290+H291</f>
        <v>79.080429682749667</v>
      </c>
      <c r="J291" s="27">
        <f>J290+I291</f>
        <v>204.24681250669295</v>
      </c>
      <c r="K291" s="22">
        <f>K290+J291</f>
        <v>59.470091271020522</v>
      </c>
      <c r="L291" s="22">
        <f>L290+K291</f>
        <v>138.28841641673682</v>
      </c>
      <c r="M291" s="39">
        <f>M290+L291</f>
        <v>391.92277865352133</v>
      </c>
    </row>
    <row r="293" spans="2:13" ht="15.75" x14ac:dyDescent="0.25">
      <c r="B293" s="14" t="s">
        <v>87</v>
      </c>
    </row>
    <row r="295" spans="2:13" x14ac:dyDescent="0.2">
      <c r="B295" s="38"/>
      <c r="C295" s="36">
        <v>0</v>
      </c>
      <c r="D295" s="37">
        <v>1</v>
      </c>
      <c r="E295" s="36">
        <v>2</v>
      </c>
      <c r="F295" s="37">
        <v>3</v>
      </c>
      <c r="G295" s="36">
        <v>4</v>
      </c>
      <c r="H295" s="37">
        <v>5</v>
      </c>
      <c r="I295" s="36">
        <v>6</v>
      </c>
      <c r="J295" s="37">
        <v>7</v>
      </c>
      <c r="K295" s="36">
        <v>8</v>
      </c>
      <c r="L295" s="37">
        <v>9</v>
      </c>
      <c r="M295" s="36">
        <v>10</v>
      </c>
    </row>
    <row r="296" spans="2:13" x14ac:dyDescent="0.2">
      <c r="B296" s="35" t="s">
        <v>86</v>
      </c>
      <c r="C296" s="5"/>
      <c r="D296" s="5"/>
      <c r="E296" s="7"/>
      <c r="F296" s="5"/>
      <c r="G296" s="7"/>
      <c r="H296" s="5"/>
      <c r="I296" s="7"/>
      <c r="J296" s="5"/>
      <c r="K296" s="7"/>
      <c r="L296" s="5"/>
      <c r="M296" s="5"/>
    </row>
    <row r="297" spans="2:13" x14ac:dyDescent="0.2">
      <c r="B297" s="31" t="s">
        <v>85</v>
      </c>
      <c r="C297" s="12">
        <f>C291</f>
        <v>0</v>
      </c>
      <c r="D297" s="12">
        <f>D291</f>
        <v>0</v>
      </c>
      <c r="E297" s="12">
        <f>E291</f>
        <v>0</v>
      </c>
      <c r="F297" s="12">
        <f>F291</f>
        <v>24.308916293128448</v>
      </c>
      <c r="G297" s="12">
        <f>G291</f>
        <v>93.325717413256086</v>
      </c>
      <c r="H297" s="12">
        <f>H291</f>
        <v>79.080429682749667</v>
      </c>
      <c r="I297" s="12">
        <f>I291</f>
        <v>79.080429682749667</v>
      </c>
      <c r="J297" s="12">
        <f>J291</f>
        <v>204.24681250669295</v>
      </c>
      <c r="K297" s="12">
        <f>K291</f>
        <v>59.470091271020522</v>
      </c>
      <c r="L297" s="12">
        <f>L291</f>
        <v>138.28841641673682</v>
      </c>
      <c r="M297" s="12">
        <f>M291</f>
        <v>391.92277865352133</v>
      </c>
    </row>
    <row r="298" spans="2:13" x14ac:dyDescent="0.2">
      <c r="B298" s="31" t="s">
        <v>84</v>
      </c>
      <c r="C298" s="12">
        <f>C224</f>
        <v>0</v>
      </c>
      <c r="D298" s="12">
        <f>D224</f>
        <v>64.816946251682381</v>
      </c>
      <c r="E298" s="12">
        <f>E224</f>
        <v>71.573662873318113</v>
      </c>
      <c r="F298" s="12">
        <f>F224</f>
        <v>68.989902888074923</v>
      </c>
      <c r="G298" s="12">
        <f>G224</f>
        <v>61.970389933960355</v>
      </c>
      <c r="H298" s="12">
        <f>H224</f>
        <v>65.480112084942661</v>
      </c>
      <c r="I298" s="12">
        <f>I224</f>
        <v>60.359504532590698</v>
      </c>
      <c r="J298" s="12">
        <f>J224</f>
        <v>61.24220002493167</v>
      </c>
      <c r="K298" s="12">
        <f>K224</f>
        <v>68.7016624259944</v>
      </c>
      <c r="L298" s="12">
        <f>L224</f>
        <v>66.882240863834113</v>
      </c>
      <c r="M298" s="12">
        <f>M224</f>
        <v>0</v>
      </c>
    </row>
    <row r="299" spans="2:13" x14ac:dyDescent="0.2">
      <c r="B299" s="31" t="s">
        <v>83</v>
      </c>
      <c r="C299" s="12">
        <f>C225</f>
        <v>0</v>
      </c>
      <c r="D299" s="12">
        <f>D225</f>
        <v>23.273374472891529</v>
      </c>
      <c r="E299" s="12">
        <f>E225</f>
        <v>25.525613346770111</v>
      </c>
      <c r="F299" s="12">
        <f>F225</f>
        <v>24.664360018355708</v>
      </c>
      <c r="G299" s="12">
        <f>G225</f>
        <v>22.324522366984187</v>
      </c>
      <c r="H299" s="12">
        <f>H225</f>
        <v>23.494429750644958</v>
      </c>
      <c r="I299" s="12">
        <f>I225</f>
        <v>21.787560566527635</v>
      </c>
      <c r="J299" s="12">
        <f>J225</f>
        <v>22.081792397307961</v>
      </c>
      <c r="K299" s="12">
        <f>K225</f>
        <v>24.568279864328868</v>
      </c>
      <c r="L299" s="12">
        <f>L225</f>
        <v>23.961806010275442</v>
      </c>
      <c r="M299" s="12">
        <f>M225</f>
        <v>0</v>
      </c>
    </row>
    <row r="300" spans="2:13" x14ac:dyDescent="0.2">
      <c r="B300" s="31" t="s">
        <v>82</v>
      </c>
      <c r="C300" s="12">
        <f>C226</f>
        <v>0</v>
      </c>
      <c r="D300" s="12">
        <f>D226</f>
        <v>64.688873181111504</v>
      </c>
      <c r="E300" s="12">
        <f>E226</f>
        <v>70.319470365807973</v>
      </c>
      <c r="F300" s="12">
        <f>F226</f>
        <v>68.166337044771979</v>
      </c>
      <c r="G300" s="12">
        <f>G226</f>
        <v>62.316742916343166</v>
      </c>
      <c r="H300" s="12">
        <f>H226</f>
        <v>65.24151137549508</v>
      </c>
      <c r="I300" s="12">
        <f>I226</f>
        <v>60.974338415201764</v>
      </c>
      <c r="J300" s="12">
        <f>J226</f>
        <v>61.70991799215259</v>
      </c>
      <c r="K300" s="12">
        <f>K226</f>
        <v>67.926136659704866</v>
      </c>
      <c r="L300" s="12">
        <f>L226</f>
        <v>66.409952024571282</v>
      </c>
      <c r="M300" s="12">
        <f>M226</f>
        <v>0</v>
      </c>
    </row>
    <row r="301" spans="2:13" x14ac:dyDescent="0.2">
      <c r="B301" s="31" t="s">
        <v>81</v>
      </c>
      <c r="C301" s="12">
        <f>C227</f>
        <v>0</v>
      </c>
      <c r="D301" s="12">
        <f>D227</f>
        <v>34.229255773968767</v>
      </c>
      <c r="E301" s="12">
        <f>E227</f>
        <v>35.969686144518271</v>
      </c>
      <c r="F301" s="12">
        <f>F227</f>
        <v>36.324432406970693</v>
      </c>
      <c r="G301" s="12">
        <f>G227</f>
        <v>36.729184758996418</v>
      </c>
      <c r="H301" s="12">
        <f>H227</f>
        <v>36.680625933276204</v>
      </c>
      <c r="I301" s="12">
        <f>I227</f>
        <v>34.431318610044485</v>
      </c>
      <c r="J301" s="12">
        <f>J227</f>
        <v>41.93157717736964</v>
      </c>
      <c r="K301" s="12">
        <f>K227</f>
        <v>35.319214370465836</v>
      </c>
      <c r="L301" s="12">
        <f>L227</f>
        <v>38.661262423467917</v>
      </c>
      <c r="M301" s="12">
        <f>M227</f>
        <v>0</v>
      </c>
    </row>
    <row r="302" spans="2:13" x14ac:dyDescent="0.2">
      <c r="B302" s="31" t="s">
        <v>80</v>
      </c>
      <c r="C302" s="12">
        <f>C228</f>
        <v>127.88338993309333</v>
      </c>
      <c r="D302" s="12">
        <f>D228</f>
        <v>115.09505093978399</v>
      </c>
      <c r="E302" s="12">
        <f>E228</f>
        <v>102.30671194647465</v>
      </c>
      <c r="F302" s="12">
        <f>F228</f>
        <v>89.518372953165311</v>
      </c>
      <c r="G302" s="12">
        <f>G228</f>
        <v>76.730033959855973</v>
      </c>
      <c r="H302" s="12">
        <f>H228</f>
        <v>63.941694966546642</v>
      </c>
      <c r="I302" s="12">
        <f>I228</f>
        <v>51.153355973237311</v>
      </c>
      <c r="J302" s="12">
        <f>J228</f>
        <v>38.365016979927979</v>
      </c>
      <c r="K302" s="12">
        <f>K228</f>
        <v>25.576677986618648</v>
      </c>
      <c r="L302" s="12">
        <f>L228</f>
        <v>12.788338993309315</v>
      </c>
      <c r="M302" s="12">
        <f>M228</f>
        <v>0</v>
      </c>
    </row>
    <row r="303" spans="2:13" x14ac:dyDescent="0.2">
      <c r="B303" s="28" t="s">
        <v>79</v>
      </c>
      <c r="C303" s="22">
        <f>SUM(C297:C302)</f>
        <v>127.88338993309333</v>
      </c>
      <c r="D303" s="22">
        <f>SUM(D297:D302)</f>
        <v>302.10350061943814</v>
      </c>
      <c r="E303" s="22">
        <f>SUM(E297:E302)</f>
        <v>305.69514467688913</v>
      </c>
      <c r="F303" s="22">
        <f>SUM(F297:F302)</f>
        <v>311.97232160446708</v>
      </c>
      <c r="G303" s="22">
        <f>SUM(G297:G302)</f>
        <v>353.3965913493962</v>
      </c>
      <c r="H303" s="22">
        <f>SUM(H297:H302)</f>
        <v>333.91880379365523</v>
      </c>
      <c r="I303" s="22">
        <f>SUM(I297:I302)</f>
        <v>307.78650778035154</v>
      </c>
      <c r="J303" s="22">
        <f>SUM(J297:J302)</f>
        <v>429.5773170783828</v>
      </c>
      <c r="K303" s="22">
        <f>SUM(K297:K302)</f>
        <v>281.56206257813312</v>
      </c>
      <c r="L303" s="22">
        <f>SUM(L297:L302)</f>
        <v>346.99201673219488</v>
      </c>
      <c r="M303" s="22">
        <f>SUM(M297:M302)</f>
        <v>391.92277865352133</v>
      </c>
    </row>
    <row r="304" spans="2:13" x14ac:dyDescent="0.2">
      <c r="B304" s="35" t="s">
        <v>78</v>
      </c>
      <c r="C304" s="12"/>
      <c r="D304" s="12"/>
      <c r="E304" s="30"/>
      <c r="F304" s="13"/>
      <c r="G304" s="29"/>
      <c r="H304" s="13"/>
      <c r="I304" s="29"/>
      <c r="J304" s="13"/>
      <c r="K304" s="34"/>
      <c r="L304" s="12"/>
      <c r="M304" s="12"/>
    </row>
    <row r="305" spans="2:13" x14ac:dyDescent="0.2">
      <c r="B305" s="32" t="s">
        <v>77</v>
      </c>
      <c r="C305" s="12">
        <f>C231</f>
        <v>0</v>
      </c>
      <c r="D305" s="12">
        <f>D231</f>
        <v>38.224467918724272</v>
      </c>
      <c r="E305" s="30">
        <f>E231</f>
        <v>42.209103306154645</v>
      </c>
      <c r="F305" s="12">
        <f>F231</f>
        <v>40.685383717729138</v>
      </c>
      <c r="G305" s="29">
        <f>G231</f>
        <v>36.545769569945101</v>
      </c>
      <c r="H305" s="12">
        <f>H231</f>
        <v>38.6155564007367</v>
      </c>
      <c r="I305" s="29">
        <f>I231</f>
        <v>35.595782862667953</v>
      </c>
      <c r="J305" s="12">
        <f>J231</f>
        <v>36.116334469619268</v>
      </c>
      <c r="K305" s="34">
        <f>K231</f>
        <v>40.515399802521323</v>
      </c>
      <c r="L305" s="12">
        <f>L231</f>
        <v>39.442433160998533</v>
      </c>
      <c r="M305" s="12">
        <f>M231</f>
        <v>37.19733717646335</v>
      </c>
    </row>
    <row r="306" spans="2:13" x14ac:dyDescent="0.2">
      <c r="B306" s="21" t="s">
        <v>76</v>
      </c>
      <c r="C306" s="11">
        <f>D246</f>
        <v>15.900711907416541</v>
      </c>
      <c r="D306" s="11">
        <f>E246</f>
        <v>15.900711907416541</v>
      </c>
      <c r="E306" s="31">
        <f>F246</f>
        <v>15.900711907416541</v>
      </c>
      <c r="F306" s="11">
        <f>G246</f>
        <v>15.900711907416541</v>
      </c>
      <c r="G306" s="29">
        <v>0</v>
      </c>
      <c r="H306" s="12">
        <v>0</v>
      </c>
      <c r="I306" s="29">
        <v>0</v>
      </c>
      <c r="J306" s="12">
        <v>0</v>
      </c>
      <c r="K306" s="29">
        <v>0</v>
      </c>
      <c r="L306" s="12">
        <v>0</v>
      </c>
      <c r="M306" s="12">
        <v>0</v>
      </c>
    </row>
    <row r="307" spans="2:13" x14ac:dyDescent="0.2">
      <c r="B307" s="32" t="s">
        <v>75</v>
      </c>
      <c r="C307" s="12">
        <v>0</v>
      </c>
      <c r="D307" s="12">
        <f>C274</f>
        <v>-27.312300922838183</v>
      </c>
      <c r="E307" s="30">
        <f>D274</f>
        <v>-40.206058737664691</v>
      </c>
      <c r="F307" s="12">
        <f>E274</f>
        <v>-16.398470163428513</v>
      </c>
      <c r="G307" s="29">
        <f>F274</f>
        <v>37.872751038176702</v>
      </c>
      <c r="H307" s="12">
        <f>G274</f>
        <v>10.687778460101105</v>
      </c>
      <c r="I307" s="29">
        <f>H274</f>
        <v>15.296595599997733</v>
      </c>
      <c r="J307" s="12">
        <f>I274</f>
        <v>121.53635044810413</v>
      </c>
      <c r="K307" s="29">
        <f>J274</f>
        <v>-27.47955025593426</v>
      </c>
      <c r="L307" s="12">
        <f>K274</f>
        <v>34.728471245247768</v>
      </c>
      <c r="M307" s="12">
        <f>L274</f>
        <v>105.99337620299956</v>
      </c>
    </row>
    <row r="308" spans="2:13" x14ac:dyDescent="0.2">
      <c r="B308" s="33" t="s">
        <v>74</v>
      </c>
      <c r="C308" s="11"/>
      <c r="D308" s="12"/>
      <c r="E308" s="29"/>
      <c r="F308" s="12"/>
      <c r="G308" s="29"/>
      <c r="H308" s="12"/>
      <c r="I308" s="29"/>
      <c r="J308" s="12"/>
      <c r="K308" s="29"/>
      <c r="L308" s="12"/>
      <c r="M308" s="12"/>
    </row>
    <row r="309" spans="2:13" x14ac:dyDescent="0.2">
      <c r="B309" s="32" t="s">
        <v>73</v>
      </c>
      <c r="C309" s="11">
        <f>D245</f>
        <v>47.702135722249622</v>
      </c>
      <c r="D309" s="11">
        <f>E245</f>
        <v>31.801423814833079</v>
      </c>
      <c r="E309" s="31">
        <f>F245</f>
        <v>15.900711907416538</v>
      </c>
      <c r="F309" s="11">
        <f>G245</f>
        <v>0</v>
      </c>
      <c r="G309" s="29">
        <v>0</v>
      </c>
      <c r="H309" s="12">
        <v>0</v>
      </c>
      <c r="I309" s="29">
        <v>0</v>
      </c>
      <c r="J309" s="12">
        <v>0</v>
      </c>
      <c r="K309" s="29">
        <v>0</v>
      </c>
      <c r="L309" s="12">
        <v>0</v>
      </c>
      <c r="M309" s="12">
        <v>0</v>
      </c>
    </row>
    <row r="310" spans="2:13" x14ac:dyDescent="0.2">
      <c r="B310" s="31" t="s">
        <v>72</v>
      </c>
      <c r="C310" s="11"/>
      <c r="D310" s="11"/>
      <c r="F310" s="11"/>
      <c r="H310" s="11"/>
      <c r="J310" s="11"/>
      <c r="L310" s="11"/>
      <c r="M310" s="11"/>
    </row>
    <row r="311" spans="2:13" x14ac:dyDescent="0.2">
      <c r="B311" s="32" t="s">
        <v>71</v>
      </c>
      <c r="C311" s="12">
        <f>C303-SUM(C305:C309)</f>
        <v>64.280542303427154</v>
      </c>
      <c r="D311" s="12">
        <f>C311+D288</f>
        <v>240.30820144973384</v>
      </c>
      <c r="E311" s="30">
        <f>D311+E288</f>
        <v>240.30820144973384</v>
      </c>
      <c r="F311" s="12">
        <f>E311+F288</f>
        <v>240.30820144973384</v>
      </c>
      <c r="G311" s="29">
        <f>F311+G288</f>
        <v>240.30820144973384</v>
      </c>
      <c r="H311" s="12">
        <f>G311+H288</f>
        <v>240.30820144973384</v>
      </c>
      <c r="I311" s="29">
        <f>H311+I288</f>
        <v>240.30820144973384</v>
      </c>
      <c r="J311" s="12">
        <f>I311+J288</f>
        <v>240.30820144973384</v>
      </c>
      <c r="K311" s="29">
        <f>J311+K288</f>
        <v>240.30820144973384</v>
      </c>
      <c r="L311" s="12">
        <f>K311+L288</f>
        <v>240.30820144973384</v>
      </c>
      <c r="M311" s="12">
        <f>L311+M288</f>
        <v>240.30820144973384</v>
      </c>
    </row>
    <row r="312" spans="2:13" x14ac:dyDescent="0.2">
      <c r="B312" s="32" t="s">
        <v>70</v>
      </c>
      <c r="C312" s="11"/>
      <c r="D312" s="12">
        <f>C272</f>
        <v>-2.4873823689172623</v>
      </c>
      <c r="E312" s="29">
        <f>D312+D272</f>
        <v>-7.0187263513007245</v>
      </c>
      <c r="F312" s="12">
        <f>E312+E272</f>
        <v>-8.8668833561985032</v>
      </c>
      <c r="G312" s="29">
        <f>F312+F272</f>
        <v>-4.5985101830682034</v>
      </c>
      <c r="H312" s="12">
        <f>G312+G272</f>
        <v>-2.9611119915252133</v>
      </c>
      <c r="I312" s="29">
        <f>H312+H272</f>
        <v>-1.2371395704714134</v>
      </c>
      <c r="J312" s="12">
        <f>I312+I272</f>
        <v>12.460373379932545</v>
      </c>
      <c r="K312" s="29">
        <f>J312+J272</f>
        <v>9.3633452553085554</v>
      </c>
      <c r="L312" s="12">
        <f>K312+K272</f>
        <v>13.277348620356392</v>
      </c>
      <c r="M312" s="12">
        <f>L312+L272</f>
        <v>25.223121533930602</v>
      </c>
    </row>
    <row r="313" spans="2:13" x14ac:dyDescent="0.2">
      <c r="B313" s="32" t="s">
        <v>69</v>
      </c>
      <c r="C313" s="11"/>
      <c r="D313" s="12">
        <f>C273</f>
        <v>5</v>
      </c>
      <c r="E313" s="29">
        <f>D313+D273</f>
        <v>4.5590268284364139</v>
      </c>
      <c r="F313" s="12">
        <f>E313+E273</f>
        <v>4.3791712140390819</v>
      </c>
      <c r="G313" s="29">
        <f>F313+F273</f>
        <v>4.7945530660657179</v>
      </c>
      <c r="H313" s="12">
        <f>G313+G273</f>
        <v>8.794553066065717</v>
      </c>
      <c r="I313" s="29">
        <f>H313+H273</f>
        <v>8.9623235088208428</v>
      </c>
      <c r="J313" s="12">
        <f>I313+I273</f>
        <v>10.295313401390374</v>
      </c>
      <c r="K313" s="29">
        <f>J313+J273</f>
        <v>9.9939223969010804</v>
      </c>
      <c r="L313" s="12">
        <f>K313+K273</f>
        <v>10.374818326255761</v>
      </c>
      <c r="M313" s="12">
        <f>L313+L273</f>
        <v>11.537335537254689</v>
      </c>
    </row>
    <row r="314" spans="2:13" x14ac:dyDescent="0.2">
      <c r="B314" s="32" t="s">
        <v>68</v>
      </c>
      <c r="C314" s="11"/>
      <c r="D314" s="12">
        <v>0</v>
      </c>
      <c r="E314" s="29">
        <v>0</v>
      </c>
      <c r="F314" s="12">
        <v>0</v>
      </c>
      <c r="G314" s="29">
        <v>0</v>
      </c>
      <c r="H314" s="12">
        <v>0</v>
      </c>
      <c r="I314" s="29">
        <v>0</v>
      </c>
      <c r="J314" s="12">
        <v>0</v>
      </c>
      <c r="K314" s="29">
        <v>0</v>
      </c>
      <c r="L314" s="12">
        <v>0</v>
      </c>
      <c r="M314" s="12">
        <v>0</v>
      </c>
    </row>
    <row r="315" spans="2:13" x14ac:dyDescent="0.2">
      <c r="B315" s="31" t="s">
        <v>67</v>
      </c>
      <c r="C315" s="12">
        <f>C251</f>
        <v>0</v>
      </c>
      <c r="D315" s="12">
        <f>C315+D251</f>
        <v>0.66837882048588249</v>
      </c>
      <c r="E315" s="30">
        <f>D315+E251</f>
        <v>1.9770414773918255</v>
      </c>
      <c r="F315" s="12">
        <f>E315+F251</f>
        <v>3.8990739458707395</v>
      </c>
      <c r="G315" s="29">
        <f>F315+G251</f>
        <v>6.4086935192383052</v>
      </c>
      <c r="H315" s="12">
        <f>G315+H251</f>
        <v>6.4086935192383052</v>
      </c>
      <c r="I315" s="29">
        <f>H315+I251</f>
        <v>6.4086935192383052</v>
      </c>
      <c r="J315" s="12">
        <f>I315+J251</f>
        <v>6.4086935192383052</v>
      </c>
      <c r="K315" s="29">
        <f>J315+K251</f>
        <v>6.4086935192383052</v>
      </c>
      <c r="L315" s="12">
        <f>K315+L251</f>
        <v>6.4086935192383052</v>
      </c>
      <c r="M315" s="12">
        <f>L315+M251</f>
        <v>6.4086935192383052</v>
      </c>
    </row>
    <row r="316" spans="2:13" x14ac:dyDescent="0.2">
      <c r="B316" s="28" t="s">
        <v>66</v>
      </c>
      <c r="C316" s="22">
        <f>SUM(C304:C315)</f>
        <v>127.88338993309333</v>
      </c>
      <c r="D316" s="22">
        <f>SUM(D304:D315)</f>
        <v>302.10350061943814</v>
      </c>
      <c r="E316" s="27">
        <f>SUM(E304:E315)</f>
        <v>273.63001178758441</v>
      </c>
      <c r="F316" s="22">
        <f>SUM(F304:F315)</f>
        <v>279.90718871516231</v>
      </c>
      <c r="G316" s="26">
        <f>SUM(G304:G315)</f>
        <v>321.33145846009148</v>
      </c>
      <c r="H316" s="22">
        <f>SUM(H304:H315)</f>
        <v>301.85367090435039</v>
      </c>
      <c r="I316" s="26">
        <f>SUM(I304:I315)</f>
        <v>305.33445736998721</v>
      </c>
      <c r="J316" s="22">
        <f>SUM(J304:J315)</f>
        <v>427.12526666801847</v>
      </c>
      <c r="K316" s="26">
        <f>SUM(K304:K315)</f>
        <v>279.11001216776884</v>
      </c>
      <c r="L316" s="22">
        <f>SUM(L304:L315)</f>
        <v>344.5399663218306</v>
      </c>
      <c r="M316" s="22">
        <f>SUM(M304:M315)</f>
        <v>426.6680654196204</v>
      </c>
    </row>
    <row r="318" spans="2:13" ht="18.75" x14ac:dyDescent="0.3">
      <c r="B318" s="25" t="s">
        <v>65</v>
      </c>
    </row>
    <row r="320" spans="2:13" ht="15.75" x14ac:dyDescent="0.25">
      <c r="B320" s="14" t="s">
        <v>64</v>
      </c>
    </row>
    <row r="322" spans="2:12" x14ac:dyDescent="0.2">
      <c r="B322" s="3" t="s">
        <v>11</v>
      </c>
      <c r="C322" s="3">
        <v>1</v>
      </c>
      <c r="D322" s="3">
        <v>2</v>
      </c>
      <c r="E322" s="3">
        <v>3</v>
      </c>
      <c r="F322" s="3">
        <v>4</v>
      </c>
      <c r="G322" s="3">
        <v>5</v>
      </c>
      <c r="H322" s="3">
        <v>6</v>
      </c>
      <c r="I322" s="3">
        <v>7</v>
      </c>
      <c r="J322" s="3">
        <v>8</v>
      </c>
      <c r="K322" s="3">
        <v>9</v>
      </c>
      <c r="L322" s="3">
        <v>10</v>
      </c>
    </row>
    <row r="323" spans="2:12" x14ac:dyDescent="0.2">
      <c r="B323" s="5" t="s">
        <v>63</v>
      </c>
      <c r="C323" s="13">
        <f>C257</f>
        <v>832.91189049990669</v>
      </c>
      <c r="D323" s="13">
        <f>D257</f>
        <v>875.26236284994479</v>
      </c>
      <c r="E323" s="13">
        <f>E257</f>
        <v>883.89452190295367</v>
      </c>
      <c r="F323" s="13">
        <f>F257</f>
        <v>893.74349580224612</v>
      </c>
      <c r="G323" s="13">
        <f>G257</f>
        <v>892.56189770972105</v>
      </c>
      <c r="H323" s="13">
        <f>H257</f>
        <v>837.82875284441582</v>
      </c>
      <c r="I323" s="13">
        <f>I257</f>
        <v>1020.335044649328</v>
      </c>
      <c r="J323" s="13">
        <f>J257</f>
        <v>859.434216348002</v>
      </c>
      <c r="K323" s="13">
        <f>K257</f>
        <v>940.75738563771927</v>
      </c>
      <c r="L323" s="13">
        <f>L257</f>
        <v>1015.0865594800329</v>
      </c>
    </row>
    <row r="324" spans="2:12" x14ac:dyDescent="0.2">
      <c r="B324" s="11" t="s">
        <v>62</v>
      </c>
      <c r="C324" s="12">
        <f>C198</f>
        <v>-19.86333824124479</v>
      </c>
      <c r="D324" s="12">
        <f>D198</f>
        <v>-41.631739781265871</v>
      </c>
      <c r="E324" s="12">
        <f>E198</f>
        <v>-16.161446144302161</v>
      </c>
      <c r="F324" s="12">
        <f>F198</f>
        <v>43.641419516625149</v>
      </c>
      <c r="G324" s="12">
        <f>G198</f>
        <v>16.325176651644096</v>
      </c>
      <c r="H324" s="12">
        <f>H198</f>
        <v>17.188338463806659</v>
      </c>
      <c r="I324" s="12">
        <f>I198</f>
        <v>136.56685329107762</v>
      </c>
      <c r="J324" s="12">
        <f>J198</f>
        <v>-30.877969385047543</v>
      </c>
      <c r="K324" s="12">
        <f>K198</f>
        <v>39.023370539650287</v>
      </c>
      <c r="L324" s="12">
        <f>L198</f>
        <v>119.1016663275727</v>
      </c>
    </row>
    <row r="325" spans="2:12" x14ac:dyDescent="0.2">
      <c r="B325" s="11" t="s">
        <v>61</v>
      </c>
      <c r="C325" s="12">
        <f>C271</f>
        <v>-24.799683291755446</v>
      </c>
      <c r="D325" s="12">
        <f>D271</f>
        <v>-45.178375891611736</v>
      </c>
      <c r="E325" s="12">
        <f>E271</f>
        <v>-18.426482782723625</v>
      </c>
      <c r="F325" s="12">
        <f>F271</f>
        <v>42.556506063333636</v>
      </c>
      <c r="G325" s="12">
        <f>G271</f>
        <v>16.325176651644096</v>
      </c>
      <c r="H325" s="12">
        <f>H271</f>
        <v>17.188338463806659</v>
      </c>
      <c r="I325" s="12">
        <f>I271</f>
        <v>136.56685329107762</v>
      </c>
      <c r="J325" s="12">
        <f>J271</f>
        <v>-30.877969385047543</v>
      </c>
      <c r="K325" s="12">
        <f>K271</f>
        <v>39.023370539650287</v>
      </c>
      <c r="L325" s="12">
        <f>L271</f>
        <v>119.1016663275727</v>
      </c>
    </row>
    <row r="326" spans="2:12" x14ac:dyDescent="0.2">
      <c r="B326" s="11" t="s">
        <v>60</v>
      </c>
      <c r="C326" s="12">
        <f>C196</f>
        <v>-28.313368250431914</v>
      </c>
      <c r="D326" s="12">
        <f>D196</f>
        <v>-59.342229640211166</v>
      </c>
      <c r="E326" s="12">
        <f>E196</f>
        <v>-23.036660333005251</v>
      </c>
      <c r="F326" s="12">
        <f>F196</f>
        <v>62.206843922140244</v>
      </c>
      <c r="G326" s="12">
        <f>G196</f>
        <v>23.270043165835254</v>
      </c>
      <c r="H326" s="12">
        <f>H196</f>
        <v>24.500401223008289</v>
      </c>
      <c r="I326" s="12">
        <f>I196</f>
        <v>194.66353344394722</v>
      </c>
      <c r="J326" s="12">
        <f>J196</f>
        <v>-44.013715489628893</v>
      </c>
      <c r="K326" s="12">
        <f>K196</f>
        <v>55.624238335123586</v>
      </c>
      <c r="L326" s="12">
        <f>L196</f>
        <v>169.76851005691313</v>
      </c>
    </row>
    <row r="327" spans="2:12" x14ac:dyDescent="0.2">
      <c r="B327" s="11" t="s">
        <v>59</v>
      </c>
      <c r="C327" s="12">
        <f>D229</f>
        <v>302.10350061943814</v>
      </c>
      <c r="D327" s="12">
        <f>E229</f>
        <v>282.13358200956242</v>
      </c>
      <c r="E327" s="12">
        <f>F229</f>
        <v>301.49818050502449</v>
      </c>
      <c r="F327" s="12">
        <f>G229</f>
        <v>355.38270858444594</v>
      </c>
      <c r="G327" s="12">
        <f>H229</f>
        <v>334.93941279235378</v>
      </c>
      <c r="H327" s="12">
        <f>I229</f>
        <v>338.42019925799053</v>
      </c>
      <c r="I327" s="12">
        <f>J229</f>
        <v>460.2110085560218</v>
      </c>
      <c r="J327" s="12">
        <f>K229</f>
        <v>312.19575405577211</v>
      </c>
      <c r="K327" s="12">
        <f>L229</f>
        <v>377.62570820983387</v>
      </c>
      <c r="L327" s="12">
        <f>M229</f>
        <v>422.55647013116027</v>
      </c>
    </row>
    <row r="328" spans="2:12" x14ac:dyDescent="0.2">
      <c r="B328" s="11" t="s">
        <v>58</v>
      </c>
      <c r="C328" s="12">
        <f>SUM(D234:D237)</f>
        <v>281.55621848467365</v>
      </c>
      <c r="D328" s="12">
        <f>SUM(E234:E237)</f>
        <v>276.97424293159759</v>
      </c>
      <c r="E328" s="12">
        <f>SUM(F234:F237)</f>
        <v>275.19551949787569</v>
      </c>
      <c r="F328" s="12">
        <f>SUM(G234:G237)</f>
        <v>279.99867973997294</v>
      </c>
      <c r="G328" s="12">
        <f>SUM(H234:H237)</f>
        <v>285.63607793151596</v>
      </c>
      <c r="H328" s="12">
        <f>SUM(I234:I237)</f>
        <v>287.52782079532483</v>
      </c>
      <c r="I328" s="12">
        <f>SUM(J234:J237)</f>
        <v>302.55832363829836</v>
      </c>
      <c r="J328" s="12">
        <f>SUM(K234:K237)</f>
        <v>299.15990450918508</v>
      </c>
      <c r="K328" s="12">
        <f>SUM(L234:L237)</f>
        <v>303.45480380358759</v>
      </c>
      <c r="L328" s="12">
        <f>SUM(M234:M237)</f>
        <v>316.56309392816075</v>
      </c>
    </row>
    <row r="329" spans="2:12" x14ac:dyDescent="0.2">
      <c r="B329" s="9" t="s">
        <v>57</v>
      </c>
      <c r="C329" s="22">
        <f>SUM(D311:D314)</f>
        <v>242.82081908081659</v>
      </c>
      <c r="D329" s="22">
        <f>SUM(E311:E314)</f>
        <v>237.84850192686952</v>
      </c>
      <c r="E329" s="22">
        <f>SUM(F311:F314)</f>
        <v>235.82048930757441</v>
      </c>
      <c r="F329" s="22">
        <f>SUM(G311:G314)</f>
        <v>240.50424433273136</v>
      </c>
      <c r="G329" s="22">
        <f>SUM(H311:H314)</f>
        <v>246.14164252427435</v>
      </c>
      <c r="H329" s="22">
        <f>SUM(I311:I314)</f>
        <v>248.03338538808327</v>
      </c>
      <c r="I329" s="22">
        <f>SUM(J311:J314)</f>
        <v>263.06388823105675</v>
      </c>
      <c r="J329" s="22">
        <f>SUM(K311:K314)</f>
        <v>259.66546910194347</v>
      </c>
      <c r="K329" s="22">
        <f>SUM(L311:L314)</f>
        <v>263.96036839634598</v>
      </c>
      <c r="L329" s="22">
        <f>SUM(M311:M314)</f>
        <v>277.06865852091914</v>
      </c>
    </row>
    <row r="330" spans="2:12" x14ac:dyDescent="0.2">
      <c r="B330" s="5" t="s">
        <v>56</v>
      </c>
      <c r="C330" s="5"/>
      <c r="D330" s="5"/>
      <c r="E330" s="5"/>
      <c r="F330" s="5"/>
      <c r="G330" s="5"/>
      <c r="H330" s="5"/>
      <c r="I330" s="5"/>
      <c r="J330" s="5"/>
      <c r="K330" s="5"/>
      <c r="L330" s="5"/>
    </row>
    <row r="331" spans="2:12" x14ac:dyDescent="0.2">
      <c r="B331" s="21" t="s">
        <v>55</v>
      </c>
      <c r="C331" s="12">
        <f>(C324/C323)*100</f>
        <v>-2.3848066605608165</v>
      </c>
      <c r="D331" s="12">
        <f>(D324/D323)*100</f>
        <v>-4.7564869173294078</v>
      </c>
      <c r="E331" s="12">
        <f>(E324/E323)*100</f>
        <v>-1.8284360569978273</v>
      </c>
      <c r="F331" s="12">
        <f>(F324/F323)*100</f>
        <v>4.8829915654324889</v>
      </c>
      <c r="G331" s="12">
        <f>(G324/G323)*100</f>
        <v>1.8290245968972978</v>
      </c>
      <c r="H331" s="12">
        <f>(H324/H323)*100</f>
        <v>2.0515336105919633</v>
      </c>
      <c r="I331" s="12">
        <f>(I324/I323)*100</f>
        <v>13.384510706286026</v>
      </c>
      <c r="J331" s="12">
        <f>(J324/J323)*100</f>
        <v>-3.5928252328907089</v>
      </c>
      <c r="K331" s="12">
        <f>(K324/K323)*100</f>
        <v>4.1480801676828909</v>
      </c>
      <c r="L331" s="12">
        <f>(L324/L323)*100</f>
        <v>11.733153711401838</v>
      </c>
    </row>
    <row r="332" spans="2:12" x14ac:dyDescent="0.2">
      <c r="B332" s="20" t="s">
        <v>54</v>
      </c>
      <c r="C332" s="22">
        <f>(C325/C323)*100</f>
        <v>-2.977467793966885</v>
      </c>
      <c r="D332" s="22">
        <f>(D325/D323)*100</f>
        <v>-5.1616952595226726</v>
      </c>
      <c r="E332" s="22">
        <f>(E325/E323)*100</f>
        <v>-2.084692497364153</v>
      </c>
      <c r="F332" s="22">
        <f>(F325/F323)*100</f>
        <v>4.7616017641766293</v>
      </c>
      <c r="G332" s="22">
        <f>(G325/G323)*100</f>
        <v>1.8290245968972978</v>
      </c>
      <c r="H332" s="22">
        <f>(H325/H323)*100</f>
        <v>2.0515336105919633</v>
      </c>
      <c r="I332" s="22">
        <f>(I325/I323)*100</f>
        <v>13.384510706286026</v>
      </c>
      <c r="J332" s="22">
        <f>(J325/J323)*100</f>
        <v>-3.5928252328907089</v>
      </c>
      <c r="K332" s="22">
        <f>(K325/K323)*100</f>
        <v>4.1480801676828909</v>
      </c>
      <c r="L332" s="22">
        <f>(L325/L323)*100</f>
        <v>11.733153711401838</v>
      </c>
    </row>
    <row r="333" spans="2:12" x14ac:dyDescent="0.2">
      <c r="B333" s="5" t="s">
        <v>53</v>
      </c>
      <c r="C333" s="24">
        <f>(C326/C327)*100</f>
        <v>-9.3720755278828971</v>
      </c>
      <c r="D333" s="24">
        <f>(D326/D327)*100</f>
        <v>-21.033380435442055</v>
      </c>
      <c r="E333" s="24">
        <f>(E326/E327)*100</f>
        <v>-7.6407294712086475</v>
      </c>
      <c r="F333" s="24">
        <f>(F326/F327)*100</f>
        <v>17.504184199034736</v>
      </c>
      <c r="G333" s="24">
        <f>(G326/G327)*100</f>
        <v>6.9475380552665973</v>
      </c>
      <c r="H333" s="24">
        <f>(H326/H327)*100</f>
        <v>7.2396391458686855</v>
      </c>
      <c r="I333" s="24">
        <f>(I326/I327)*100</f>
        <v>42.298756401923555</v>
      </c>
      <c r="J333" s="24">
        <f>(J326/J327)*100</f>
        <v>-14.098114698179423</v>
      </c>
      <c r="K333" s="24">
        <f>(K326/K327)*100</f>
        <v>14.729992457032367</v>
      </c>
      <c r="L333" s="24">
        <f>(L326/L327)*100</f>
        <v>40.176525992896877</v>
      </c>
    </row>
    <row r="334" spans="2:12" x14ac:dyDescent="0.2">
      <c r="B334" s="9" t="s">
        <v>52</v>
      </c>
      <c r="C334" s="23"/>
      <c r="D334" s="23"/>
      <c r="E334" s="23"/>
      <c r="F334" s="23"/>
      <c r="G334" s="23"/>
      <c r="H334" s="23"/>
      <c r="I334" s="23"/>
      <c r="J334" s="23"/>
      <c r="K334" s="23"/>
      <c r="L334" s="23"/>
    </row>
    <row r="335" spans="2:12" x14ac:dyDescent="0.2">
      <c r="B335" s="11" t="s">
        <v>51</v>
      </c>
      <c r="C335" s="11"/>
      <c r="D335" s="11"/>
      <c r="E335" s="11"/>
      <c r="F335" s="11"/>
      <c r="G335" s="11"/>
      <c r="H335" s="11"/>
      <c r="I335" s="11"/>
      <c r="J335" s="11"/>
      <c r="K335" s="11"/>
      <c r="L335" s="11"/>
    </row>
    <row r="336" spans="2:12" x14ac:dyDescent="0.2">
      <c r="B336" s="11" t="s">
        <v>50</v>
      </c>
      <c r="C336" s="11"/>
      <c r="D336" s="11"/>
      <c r="E336" s="11"/>
      <c r="F336" s="11"/>
      <c r="G336" s="11"/>
      <c r="H336" s="11"/>
      <c r="I336" s="11"/>
      <c r="J336" s="11"/>
      <c r="K336" s="11"/>
      <c r="L336" s="11"/>
    </row>
    <row r="337" spans="2:12" x14ac:dyDescent="0.2">
      <c r="B337" s="21" t="s">
        <v>49</v>
      </c>
      <c r="C337" s="12">
        <f>(C324/C328)*100</f>
        <v>-7.0548391181514747</v>
      </c>
      <c r="D337" s="12">
        <f>(D324/D328)*100</f>
        <v>-15.030906607278776</v>
      </c>
      <c r="E337" s="12">
        <f>(E324/E328)*100</f>
        <v>-5.8727141247759</v>
      </c>
      <c r="F337" s="12">
        <f>(F324/F328)*100</f>
        <v>15.58629474865872</v>
      </c>
      <c r="G337" s="12">
        <f>(G324/G328)*100</f>
        <v>5.7153762822489869</v>
      </c>
      <c r="H337" s="12">
        <f>(H324/H328)*100</f>
        <v>5.977974032656161</v>
      </c>
      <c r="I337" s="12">
        <f>(I324/I328)*100</f>
        <v>45.137364475333428</v>
      </c>
      <c r="J337" s="12">
        <f>(J324/J328)*100</f>
        <v>-10.321560115386218</v>
      </c>
      <c r="K337" s="12">
        <f>(K324/K328)*100</f>
        <v>12.859697737692869</v>
      </c>
      <c r="L337" s="12">
        <f>(L324/L328)*100</f>
        <v>37.623358064159248</v>
      </c>
    </row>
    <row r="338" spans="2:12" x14ac:dyDescent="0.2">
      <c r="B338" s="20" t="s">
        <v>48</v>
      </c>
      <c r="C338" s="22">
        <f>(C325/C329)*100</f>
        <v>-10.213161863810994</v>
      </c>
      <c r="D338" s="22">
        <f>(D325/D329)*100</f>
        <v>-18.994601826629363</v>
      </c>
      <c r="E338" s="22">
        <f>(E325/E329)*100</f>
        <v>-7.8137751460139047</v>
      </c>
      <c r="F338" s="22">
        <f>(F325/F329)*100</f>
        <v>17.694700640899217</v>
      </c>
      <c r="G338" s="22">
        <f>(G325/G329)*100</f>
        <v>6.632431832429214</v>
      </c>
      <c r="H338" s="22">
        <f>(H325/H329)*100</f>
        <v>6.9298487527850634</v>
      </c>
      <c r="I338" s="22">
        <f>(I325/I329)*100</f>
        <v>51.913949196678388</v>
      </c>
      <c r="J338" s="22">
        <f>(J325/J329)*100</f>
        <v>-11.891442282194632</v>
      </c>
      <c r="K338" s="22">
        <f>(K325/K329)*100</f>
        <v>14.783799089511534</v>
      </c>
      <c r="L338" s="22">
        <f>(L325/L329)*100</f>
        <v>42.986336658709568</v>
      </c>
    </row>
    <row r="340" spans="2:12" ht="15.75" x14ac:dyDescent="0.25">
      <c r="B340" s="14" t="s">
        <v>47</v>
      </c>
    </row>
    <row r="342" spans="2:12" x14ac:dyDescent="0.2">
      <c r="B342" s="3" t="s">
        <v>11</v>
      </c>
      <c r="C342" s="3">
        <v>1</v>
      </c>
      <c r="D342" s="3">
        <v>2</v>
      </c>
      <c r="E342" s="3">
        <v>3</v>
      </c>
      <c r="F342" s="3">
        <v>4</v>
      </c>
      <c r="G342" s="3">
        <v>5</v>
      </c>
      <c r="H342" s="3">
        <v>6</v>
      </c>
      <c r="I342" s="3">
        <v>7</v>
      </c>
      <c r="J342" s="3">
        <v>8</v>
      </c>
      <c r="K342" s="3">
        <v>9</v>
      </c>
      <c r="L342" s="3">
        <v>10</v>
      </c>
    </row>
    <row r="343" spans="2:12" x14ac:dyDescent="0.2">
      <c r="B343" s="5" t="s">
        <v>46</v>
      </c>
      <c r="C343" s="13">
        <f>C98</f>
        <v>832.91189049990669</v>
      </c>
      <c r="D343" s="13">
        <f>D98</f>
        <v>875.26236284994479</v>
      </c>
      <c r="E343" s="13">
        <f>E98</f>
        <v>883.89452190295367</v>
      </c>
      <c r="F343" s="13">
        <f>F98</f>
        <v>893.74349580224612</v>
      </c>
      <c r="G343" s="13">
        <f>G98</f>
        <v>892.56189770972105</v>
      </c>
      <c r="H343" s="13">
        <f>H98</f>
        <v>837.82875284441582</v>
      </c>
      <c r="I343" s="13">
        <f>I98</f>
        <v>1020.335044649328</v>
      </c>
      <c r="J343" s="13">
        <f>J98</f>
        <v>859.434216348002</v>
      </c>
      <c r="K343" s="13">
        <f>K98</f>
        <v>940.75738563771927</v>
      </c>
      <c r="L343" s="13">
        <f>L98</f>
        <v>1015.0865594800329</v>
      </c>
    </row>
    <row r="344" spans="2:12" x14ac:dyDescent="0.2">
      <c r="B344" s="11" t="s">
        <v>45</v>
      </c>
      <c r="C344" s="10">
        <f>C343/365</f>
        <v>2.281950384931251</v>
      </c>
      <c r="D344" s="10">
        <f>D343/365</f>
        <v>2.3979790763012185</v>
      </c>
      <c r="E344" s="10">
        <f>E343/365</f>
        <v>2.4216288271313799</v>
      </c>
      <c r="F344" s="10">
        <f>F343/365</f>
        <v>2.4486123172664276</v>
      </c>
      <c r="G344" s="10">
        <f>G343/365</f>
        <v>2.4453750622184138</v>
      </c>
      <c r="H344" s="10">
        <f>H343/365</f>
        <v>2.2954212406696324</v>
      </c>
      <c r="I344" s="10">
        <f>I343/365</f>
        <v>2.7954384784913096</v>
      </c>
      <c r="J344" s="10">
        <f>J343/365</f>
        <v>2.3546142913643888</v>
      </c>
      <c r="K344" s="10">
        <f>K343/365</f>
        <v>2.577417494897861</v>
      </c>
      <c r="L344" s="10">
        <f>L343/365</f>
        <v>2.7810590670685831</v>
      </c>
    </row>
    <row r="345" spans="2:12" x14ac:dyDescent="0.2">
      <c r="B345" s="11" t="s">
        <v>44</v>
      </c>
      <c r="C345" s="12">
        <f>D228</f>
        <v>115.09505093978399</v>
      </c>
      <c r="D345" s="12">
        <f>E228</f>
        <v>102.30671194647465</v>
      </c>
      <c r="E345" s="12">
        <f>F228</f>
        <v>89.518372953165311</v>
      </c>
      <c r="F345" s="12">
        <f>G228</f>
        <v>76.730033959855973</v>
      </c>
      <c r="G345" s="12">
        <f>H228</f>
        <v>63.941694966546642</v>
      </c>
      <c r="H345" s="12">
        <f>I228</f>
        <v>51.153355973237311</v>
      </c>
      <c r="I345" s="12">
        <f>J228</f>
        <v>38.365016979927979</v>
      </c>
      <c r="J345" s="12">
        <f>K228</f>
        <v>25.576677986618648</v>
      </c>
      <c r="K345" s="12">
        <f>L228</f>
        <v>12.788338993309315</v>
      </c>
      <c r="L345" s="12">
        <f>M228</f>
        <v>0</v>
      </c>
    </row>
    <row r="346" spans="2:12" x14ac:dyDescent="0.2">
      <c r="B346" s="11" t="s">
        <v>43</v>
      </c>
      <c r="C346" s="12">
        <f>D229</f>
        <v>302.10350061943814</v>
      </c>
      <c r="D346" s="12">
        <f>E229</f>
        <v>282.13358200956242</v>
      </c>
      <c r="E346" s="12">
        <f>F229</f>
        <v>301.49818050502449</v>
      </c>
      <c r="F346" s="12">
        <f>G229</f>
        <v>355.38270858444594</v>
      </c>
      <c r="G346" s="12">
        <f>H229</f>
        <v>334.93941279235378</v>
      </c>
      <c r="H346" s="12">
        <f>I229</f>
        <v>338.42019925799053</v>
      </c>
      <c r="I346" s="12">
        <f>J229</f>
        <v>460.2110085560218</v>
      </c>
      <c r="J346" s="12">
        <f>K229</f>
        <v>312.19575405577211</v>
      </c>
      <c r="K346" s="12">
        <f>L229</f>
        <v>377.62570820983387</v>
      </c>
      <c r="L346" s="12">
        <f>M229</f>
        <v>422.55647013116027</v>
      </c>
    </row>
    <row r="347" spans="2:12" x14ac:dyDescent="0.2">
      <c r="B347" s="11" t="s">
        <v>42</v>
      </c>
      <c r="C347" s="12">
        <f>D303</f>
        <v>302.10350061943814</v>
      </c>
      <c r="D347" s="12">
        <f>E303</f>
        <v>305.69514467688913</v>
      </c>
      <c r="E347" s="12">
        <f>F303</f>
        <v>311.97232160446708</v>
      </c>
      <c r="F347" s="12">
        <f>G303</f>
        <v>353.3965913493962</v>
      </c>
      <c r="G347" s="12">
        <f>H303</f>
        <v>333.91880379365523</v>
      </c>
      <c r="H347" s="12">
        <f>I303</f>
        <v>307.78650778035154</v>
      </c>
      <c r="I347" s="12">
        <f>J303</f>
        <v>429.5773170783828</v>
      </c>
      <c r="J347" s="12">
        <f>K303</f>
        <v>281.56206257813312</v>
      </c>
      <c r="K347" s="12">
        <f>L303</f>
        <v>346.99201673219488</v>
      </c>
      <c r="L347" s="12">
        <f>M303</f>
        <v>391.92277865352133</v>
      </c>
    </row>
    <row r="348" spans="2:12" x14ac:dyDescent="0.2">
      <c r="B348" s="11" t="s">
        <v>41</v>
      </c>
      <c r="C348" s="12">
        <f>SUM(C155,C161,C167)</f>
        <v>152.77919390568542</v>
      </c>
      <c r="D348" s="12">
        <f>SUM(D155,D161,D167)</f>
        <v>167.4187465858962</v>
      </c>
      <c r="E348" s="12">
        <f>SUM(E155,E161,E167)</f>
        <v>161.82059995120261</v>
      </c>
      <c r="F348" s="12">
        <f>SUM(F155,F161,F167)</f>
        <v>146.6116552172877</v>
      </c>
      <c r="G348" s="12">
        <f>SUM(G155,G161,G167)</f>
        <v>154.21605321108268</v>
      </c>
      <c r="H348" s="12">
        <f>SUM(H155,H161,H167)</f>
        <v>143.12140351432009</v>
      </c>
      <c r="I348" s="12">
        <f>SUM(I155,I161,I167)</f>
        <v>145.03391041439221</v>
      </c>
      <c r="J348" s="12">
        <f>SUM(J155,J161,J167)</f>
        <v>161.19607895002815</v>
      </c>
      <c r="K348" s="12">
        <f>SUM(K155,K161,K167)</f>
        <v>157.25399889868083</v>
      </c>
      <c r="L348" s="12">
        <v>0</v>
      </c>
    </row>
    <row r="349" spans="2:12" x14ac:dyDescent="0.2">
      <c r="B349" s="11" t="s">
        <v>40</v>
      </c>
      <c r="C349" s="10">
        <f>C87*C144*365/1000+D286</f>
        <v>848.25011285386813</v>
      </c>
      <c r="D349" s="10">
        <f>D87*D144*365/1000+E286</f>
        <v>920.96970867447271</v>
      </c>
      <c r="E349" s="10">
        <f>E87*E144*365/1000+F286</f>
        <v>893.16182618570713</v>
      </c>
      <c r="F349" s="10">
        <f>F87*F144*365/1000+G286</f>
        <v>817.61386798864828</v>
      </c>
      <c r="G349" s="10">
        <f>G87*G144*365/1000+H286</f>
        <v>855.38747765059486</v>
      </c>
      <c r="H349" s="10">
        <f>H87*H144*365/1000+I286</f>
        <v>800.27661058084027</v>
      </c>
      <c r="I349" s="10">
        <f>I87*I144*365/1000+J286</f>
        <v>809.77667740770175</v>
      </c>
      <c r="J349" s="10">
        <f>J87*J144*365/1000+K286</f>
        <v>890.05961973316448</v>
      </c>
      <c r="K349" s="10">
        <f>K87*K144*365/1000+L286</f>
        <v>870.47797852537337</v>
      </c>
      <c r="L349" s="10">
        <f>L87*L144*365/1000+M286</f>
        <v>829.50497680760657</v>
      </c>
    </row>
    <row r="350" spans="2:12" x14ac:dyDescent="0.2">
      <c r="B350" s="9" t="s">
        <v>39</v>
      </c>
      <c r="C350" s="9">
        <f>C170</f>
        <v>34.229255773968767</v>
      </c>
      <c r="D350" s="9">
        <f>D170</f>
        <v>35.969686144518271</v>
      </c>
      <c r="E350" s="9">
        <f>E170</f>
        <v>36.324432406970693</v>
      </c>
      <c r="F350" s="9">
        <f>F170</f>
        <v>36.729184758996418</v>
      </c>
      <c r="G350" s="9">
        <f>G170</f>
        <v>36.680625933276204</v>
      </c>
      <c r="H350" s="9">
        <f>H170</f>
        <v>34.431318610044485</v>
      </c>
      <c r="I350" s="9">
        <f>I170</f>
        <v>41.93157717736964</v>
      </c>
      <c r="J350" s="9">
        <f>J170</f>
        <v>35.319214370465836</v>
      </c>
      <c r="K350" s="9">
        <f>K170</f>
        <v>38.661262423467917</v>
      </c>
      <c r="L350" s="9">
        <f>L170</f>
        <v>41.715886006028747</v>
      </c>
    </row>
    <row r="351" spans="2:12" x14ac:dyDescent="0.2">
      <c r="B351" s="3" t="s">
        <v>38</v>
      </c>
      <c r="C351" s="4">
        <f>C343/C345</f>
        <v>7.2367307169069655</v>
      </c>
      <c r="D351" s="4">
        <f>D343/D345</f>
        <v>8.5552780086204816</v>
      </c>
      <c r="E351" s="4">
        <f>E343/E345</f>
        <v>9.8738894904333687</v>
      </c>
      <c r="F351" s="4">
        <f>F343/F345</f>
        <v>11.647896523411413</v>
      </c>
      <c r="G351" s="4">
        <f>G343/G345</f>
        <v>13.958996522952612</v>
      </c>
      <c r="H351" s="4">
        <f>H343/H345</f>
        <v>16.378764147610482</v>
      </c>
      <c r="I351" s="4">
        <f>I343/I345</f>
        <v>26.595454009134219</v>
      </c>
      <c r="J351" s="4">
        <f>J343/J345</f>
        <v>33.602261278718281</v>
      </c>
      <c r="K351" s="4">
        <f>K343/K345</f>
        <v>73.563688461019893</v>
      </c>
      <c r="L351" s="3"/>
    </row>
    <row r="352" spans="2:12" x14ac:dyDescent="0.2">
      <c r="B352" s="11" t="s">
        <v>37</v>
      </c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2:13" x14ac:dyDescent="0.2">
      <c r="B353" s="21" t="s">
        <v>36</v>
      </c>
      <c r="C353" s="10">
        <f>C343/C346</f>
        <v>2.757041506609788</v>
      </c>
      <c r="D353" s="10">
        <f>D343/D346</f>
        <v>3.1022977010240465</v>
      </c>
      <c r="E353" s="10">
        <f>E343/E346</f>
        <v>2.9316744811606696</v>
      </c>
      <c r="F353" s="10">
        <f>F343/F346</f>
        <v>2.5148761439806377</v>
      </c>
      <c r="G353" s="10">
        <f>G343/G346</f>
        <v>2.6648458306788343</v>
      </c>
      <c r="H353" s="10">
        <f>H343/H346</f>
        <v>2.4757055125001779</v>
      </c>
      <c r="I353" s="10">
        <f>I343/I346</f>
        <v>2.2171026456989282</v>
      </c>
      <c r="J353" s="10">
        <f>J343/J346</f>
        <v>2.7528696504772729</v>
      </c>
      <c r="K353" s="10">
        <f>K343/K346</f>
        <v>2.4912429561468632</v>
      </c>
      <c r="L353" s="10">
        <f>L343/L346</f>
        <v>2.4022506605210729</v>
      </c>
    </row>
    <row r="354" spans="2:13" x14ac:dyDescent="0.2">
      <c r="B354" s="20" t="s">
        <v>35</v>
      </c>
      <c r="C354" s="18">
        <f>C343/C347</f>
        <v>2.757041506609788</v>
      </c>
      <c r="D354" s="18">
        <f>D343/D347</f>
        <v>2.8631869955771512</v>
      </c>
      <c r="E354" s="18">
        <f>E343/E347</f>
        <v>2.8332466077666849</v>
      </c>
      <c r="F354" s="18">
        <f>F343/F347</f>
        <v>2.5290099499534211</v>
      </c>
      <c r="G354" s="18">
        <f>G343/G347</f>
        <v>2.6729908216288374</v>
      </c>
      <c r="H354" s="18">
        <f>H343/H347</f>
        <v>2.7221100719669074</v>
      </c>
      <c r="I354" s="18">
        <f>I343/I347</f>
        <v>2.3752069862272376</v>
      </c>
      <c r="J354" s="18">
        <f>J343/J347</f>
        <v>3.0523793172935365</v>
      </c>
      <c r="K354" s="18">
        <f>K343/K347</f>
        <v>2.7111787599533934</v>
      </c>
      <c r="L354" s="18">
        <f>L343/L347</f>
        <v>2.5900167450522655</v>
      </c>
    </row>
    <row r="355" spans="2:13" x14ac:dyDescent="0.2">
      <c r="B355" s="3" t="s">
        <v>34</v>
      </c>
      <c r="C355" s="2">
        <f>C349/C348</f>
        <v>5.5521310930434353</v>
      </c>
      <c r="D355" s="2">
        <f>D349/D348</f>
        <v>5.5009951242345378</v>
      </c>
      <c r="E355" s="2">
        <f>E349/E348</f>
        <v>5.5194568951977825</v>
      </c>
      <c r="F355" s="2">
        <f>F349/F348</f>
        <v>5.5767317187497341</v>
      </c>
      <c r="G355" s="2">
        <f>G349/G348</f>
        <v>5.5466824616486994</v>
      </c>
      <c r="H355" s="2">
        <f>H349/H348</f>
        <v>5.5915928081348651</v>
      </c>
      <c r="I355" s="2">
        <f>I349/I348</f>
        <v>5.5833609884336735</v>
      </c>
      <c r="J355" s="2">
        <f>J349/J348</f>
        <v>5.5215959689012584</v>
      </c>
      <c r="K355" s="2">
        <f>K349/K348</f>
        <v>5.535490255393916</v>
      </c>
      <c r="L355" s="2"/>
    </row>
    <row r="356" spans="2:13" x14ac:dyDescent="0.2">
      <c r="B356" s="11" t="s">
        <v>33</v>
      </c>
      <c r="C356" s="19"/>
      <c r="D356" s="19"/>
      <c r="E356" s="19"/>
      <c r="F356" s="19"/>
      <c r="G356" s="19"/>
      <c r="H356" s="19"/>
      <c r="I356" s="19"/>
      <c r="J356" s="19"/>
      <c r="K356" s="19"/>
      <c r="L356" s="19"/>
    </row>
    <row r="357" spans="2:13" x14ac:dyDescent="0.2">
      <c r="B357" s="9" t="s">
        <v>32</v>
      </c>
      <c r="C357" s="8">
        <f>C350/C344</f>
        <v>15</v>
      </c>
      <c r="D357" s="8">
        <f>D350/D344</f>
        <v>14.999999999999996</v>
      </c>
      <c r="E357" s="8">
        <f>E350/E344</f>
        <v>14.999999999999998</v>
      </c>
      <c r="F357" s="8">
        <f>F350/F344</f>
        <v>15.000000000000002</v>
      </c>
      <c r="G357" s="8">
        <f>G350/G344</f>
        <v>14.999999999999998</v>
      </c>
      <c r="H357" s="8">
        <f>H350/H344</f>
        <v>15</v>
      </c>
      <c r="I357" s="8">
        <f>I350/I344</f>
        <v>14.999999999999998</v>
      </c>
      <c r="J357" s="8">
        <f>J350/J344</f>
        <v>15.000000000000002</v>
      </c>
      <c r="K357" s="8">
        <f>K350/K344</f>
        <v>15.000000000000002</v>
      </c>
      <c r="L357" s="8">
        <f>L350/L344</f>
        <v>15</v>
      </c>
    </row>
    <row r="359" spans="2:13" ht="15.75" x14ac:dyDescent="0.25">
      <c r="B359" s="14" t="s">
        <v>31</v>
      </c>
    </row>
    <row r="361" spans="2:13" x14ac:dyDescent="0.2">
      <c r="B361" s="3" t="s">
        <v>11</v>
      </c>
      <c r="C361" s="3">
        <v>0</v>
      </c>
      <c r="D361" s="3">
        <v>1</v>
      </c>
      <c r="E361" s="3">
        <v>2</v>
      </c>
      <c r="F361" s="3">
        <v>3</v>
      </c>
      <c r="G361" s="3">
        <v>4</v>
      </c>
      <c r="H361" s="3">
        <v>5</v>
      </c>
      <c r="I361" s="3">
        <v>6</v>
      </c>
      <c r="J361" s="3">
        <v>7</v>
      </c>
      <c r="K361" s="3">
        <v>8</v>
      </c>
      <c r="L361" s="3">
        <v>9</v>
      </c>
      <c r="M361" s="3">
        <v>10</v>
      </c>
    </row>
    <row r="362" spans="2:13" x14ac:dyDescent="0.2">
      <c r="B362" s="5" t="s">
        <v>30</v>
      </c>
      <c r="C362" s="13">
        <f>C229</f>
        <v>127.88338993309333</v>
      </c>
      <c r="D362" s="13">
        <f>D229</f>
        <v>302.10350061943814</v>
      </c>
      <c r="E362" s="13">
        <f>E229</f>
        <v>282.13358200956242</v>
      </c>
      <c r="F362" s="13">
        <f>F229</f>
        <v>301.49818050502449</v>
      </c>
      <c r="G362" s="13">
        <f>G229</f>
        <v>355.38270858444594</v>
      </c>
      <c r="H362" s="13">
        <f>H229</f>
        <v>334.93941279235378</v>
      </c>
      <c r="I362" s="13">
        <f>I229</f>
        <v>338.42019925799053</v>
      </c>
      <c r="J362" s="13">
        <f>J229</f>
        <v>460.2110085560218</v>
      </c>
      <c r="K362" s="13">
        <f>K229</f>
        <v>312.19575405577211</v>
      </c>
      <c r="L362" s="13">
        <f>L229</f>
        <v>377.62570820983387</v>
      </c>
      <c r="M362" s="13">
        <f>M229</f>
        <v>422.55647013116027</v>
      </c>
    </row>
    <row r="363" spans="2:13" x14ac:dyDescent="0.2">
      <c r="B363" s="11" t="s">
        <v>29</v>
      </c>
      <c r="C363" s="12">
        <f>C303</f>
        <v>127.88338993309333</v>
      </c>
      <c r="D363" s="12">
        <f>D303</f>
        <v>302.10350061943814</v>
      </c>
      <c r="E363" s="12">
        <f>E303</f>
        <v>305.69514467688913</v>
      </c>
      <c r="F363" s="12">
        <f>F303</f>
        <v>311.97232160446708</v>
      </c>
      <c r="G363" s="12">
        <f>G303</f>
        <v>353.3965913493962</v>
      </c>
      <c r="H363" s="12">
        <f>H303</f>
        <v>333.91880379365523</v>
      </c>
      <c r="I363" s="12">
        <f>I303</f>
        <v>307.78650778035154</v>
      </c>
      <c r="J363" s="12">
        <f>J303</f>
        <v>429.5773170783828</v>
      </c>
      <c r="K363" s="12">
        <f>K303</f>
        <v>281.56206257813312</v>
      </c>
      <c r="L363" s="12">
        <f>L303</f>
        <v>346.99201673219488</v>
      </c>
      <c r="M363" s="12">
        <f>M303</f>
        <v>391.92277865352133</v>
      </c>
    </row>
    <row r="364" spans="2:13" x14ac:dyDescent="0.2">
      <c r="B364" s="11" t="s">
        <v>28</v>
      </c>
      <c r="C364" s="12">
        <f>C239-SUM(C234:C237)</f>
        <v>0</v>
      </c>
      <c r="D364" s="12">
        <f>D239-SUM(D234:D237)</f>
        <v>20.547282134764487</v>
      </c>
      <c r="E364" s="12">
        <f>E239-SUM(E234:E237)</f>
        <v>5.1593390779648871</v>
      </c>
      <c r="F364" s="12">
        <f>F239-SUM(F234:F237)</f>
        <v>26.302661007148856</v>
      </c>
      <c r="G364" s="12">
        <f>G239-SUM(G234:G237)</f>
        <v>75.384028844472994</v>
      </c>
      <c r="H364" s="12">
        <f>H239-SUM(H234:H237)</f>
        <v>49.303334860837822</v>
      </c>
      <c r="I364" s="12">
        <f>I239-SUM(I234:I237)</f>
        <v>50.892378462665704</v>
      </c>
      <c r="J364" s="12">
        <f>J239-SUM(J234:J237)</f>
        <v>157.65268491772338</v>
      </c>
      <c r="K364" s="12">
        <f>K239-SUM(K234:K237)</f>
        <v>13.035849546587087</v>
      </c>
      <c r="L364" s="12">
        <f>L239-SUM(L234:L237)</f>
        <v>74.170904406246336</v>
      </c>
      <c r="M364" s="12">
        <f>M239-SUM(M234:M237)</f>
        <v>143.19071337946292</v>
      </c>
    </row>
    <row r="365" spans="2:13" x14ac:dyDescent="0.2">
      <c r="B365" s="11" t="s">
        <v>27</v>
      </c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</row>
    <row r="366" spans="2:13" x14ac:dyDescent="0.2">
      <c r="B366" s="11" t="s">
        <v>26</v>
      </c>
      <c r="C366" s="12">
        <f>C316-SUM(C311:C315)</f>
        <v>63.602847629666172</v>
      </c>
      <c r="D366" s="12">
        <f>D316-SUM(D311:D315)</f>
        <v>58.614302718135662</v>
      </c>
      <c r="E366" s="12">
        <f>E316-SUM(E311:E315)</f>
        <v>33.804468383323069</v>
      </c>
      <c r="F366" s="12">
        <f>F316-SUM(F311:F315)</f>
        <v>40.187625461717175</v>
      </c>
      <c r="G366" s="12">
        <f>G316-SUM(G311:G315)</f>
        <v>74.41852060812181</v>
      </c>
      <c r="H366" s="12">
        <f>H316-SUM(H311:H315)</f>
        <v>49.303334860837737</v>
      </c>
      <c r="I366" s="12">
        <f>I316-SUM(I311:I315)</f>
        <v>50.892378462665619</v>
      </c>
      <c r="J366" s="12">
        <f>J316-SUM(J311:J315)</f>
        <v>157.65268491772343</v>
      </c>
      <c r="K366" s="12">
        <f>K316-SUM(K311:K315)</f>
        <v>13.035849546587087</v>
      </c>
      <c r="L366" s="12">
        <f>L316-SUM(L311:L315)</f>
        <v>74.170904406246336</v>
      </c>
      <c r="M366" s="12">
        <f>M316-SUM(M311:M315)</f>
        <v>143.19071337946298</v>
      </c>
    </row>
    <row r="367" spans="2:13" x14ac:dyDescent="0.2">
      <c r="B367" s="11" t="s">
        <v>25</v>
      </c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</row>
    <row r="368" spans="2:13" x14ac:dyDescent="0.2">
      <c r="B368" s="11" t="s">
        <v>24</v>
      </c>
      <c r="C368" s="11"/>
      <c r="D368" s="12">
        <f>C326</f>
        <v>-28.313368250431914</v>
      </c>
      <c r="E368" s="12">
        <f>D326</f>
        <v>-59.342229640211166</v>
      </c>
      <c r="F368" s="12">
        <f>E326</f>
        <v>-23.036660333005251</v>
      </c>
      <c r="G368" s="12">
        <f>F326</f>
        <v>62.206843922140244</v>
      </c>
      <c r="H368" s="12">
        <f>G326</f>
        <v>23.270043165835254</v>
      </c>
      <c r="I368" s="12">
        <f>H326</f>
        <v>24.500401223008289</v>
      </c>
      <c r="J368" s="12">
        <f>I326</f>
        <v>194.66353344394722</v>
      </c>
      <c r="K368" s="12">
        <f>J326</f>
        <v>-44.013715489628893</v>
      </c>
      <c r="L368" s="12">
        <f>K326</f>
        <v>55.624238335123586</v>
      </c>
      <c r="M368" s="12">
        <f>L326</f>
        <v>169.76851005691313</v>
      </c>
    </row>
    <row r="369" spans="2:13" x14ac:dyDescent="0.2">
      <c r="B369" s="11" t="s">
        <v>23</v>
      </c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</row>
    <row r="370" spans="2:13" x14ac:dyDescent="0.2">
      <c r="B370" s="11" t="s">
        <v>22</v>
      </c>
      <c r="C370" s="11"/>
      <c r="D370" s="12">
        <f>D250</f>
        <v>7.0363074690081202</v>
      </c>
      <c r="E370" s="12">
        <f>E250</f>
        <v>5.0554047372557367</v>
      </c>
      <c r="F370" s="12">
        <f>F250</f>
        <v>3.228602144587374</v>
      </c>
      <c r="G370" s="12">
        <f>G250</f>
        <v>1.5464446987620406</v>
      </c>
      <c r="H370" s="11"/>
      <c r="I370" s="11"/>
      <c r="J370" s="11"/>
      <c r="K370" s="11"/>
      <c r="L370" s="11"/>
      <c r="M370" s="11"/>
    </row>
    <row r="371" spans="2:13" x14ac:dyDescent="0.2">
      <c r="B371" s="11" t="s">
        <v>21</v>
      </c>
      <c r="C371" s="11"/>
      <c r="D371" s="10">
        <f>D305</f>
        <v>38.224467918724272</v>
      </c>
      <c r="E371" s="10">
        <f>E305</f>
        <v>42.209103306154645</v>
      </c>
      <c r="F371" s="10">
        <f>F305</f>
        <v>40.685383717729138</v>
      </c>
      <c r="G371" s="10">
        <f>G305</f>
        <v>36.545769569945101</v>
      </c>
      <c r="H371" s="10">
        <f>H305</f>
        <v>38.6155564007367</v>
      </c>
      <c r="I371" s="10">
        <f>I305</f>
        <v>35.595782862667953</v>
      </c>
      <c r="J371" s="10">
        <f>J305</f>
        <v>36.116334469619268</v>
      </c>
      <c r="K371" s="10">
        <f>K305</f>
        <v>40.515399802521323</v>
      </c>
      <c r="L371" s="10">
        <f>L305</f>
        <v>39.442433160998533</v>
      </c>
      <c r="M371" s="10">
        <f>M305</f>
        <v>37.19733717646335</v>
      </c>
    </row>
    <row r="372" spans="2:13" x14ac:dyDescent="0.2">
      <c r="B372" s="9" t="s">
        <v>20</v>
      </c>
      <c r="C372" s="9"/>
      <c r="D372" s="18">
        <f>C106/1000</f>
        <v>1.9112233959362137</v>
      </c>
      <c r="E372" s="18">
        <f>D106/1000</f>
        <v>2.1104551653077324</v>
      </c>
      <c r="F372" s="18">
        <f>E106/1000</f>
        <v>2.034269185886457</v>
      </c>
      <c r="G372" s="18">
        <f>F106/1000</f>
        <v>1.827288478497255</v>
      </c>
      <c r="H372" s="18">
        <f>G106/1000</f>
        <v>1.9307778200368351</v>
      </c>
      <c r="I372" s="18">
        <f>H106/1000</f>
        <v>1.7797891431333976</v>
      </c>
      <c r="J372" s="18">
        <f>I106/1000</f>
        <v>1.8058167234809632</v>
      </c>
      <c r="K372" s="18">
        <f>J106/1000</f>
        <v>2.0257699901260664</v>
      </c>
      <c r="L372" s="18">
        <f>K106/1000</f>
        <v>1.9721216580499266</v>
      </c>
      <c r="M372" s="18">
        <f>L106/1000</f>
        <v>1.8598668588231677</v>
      </c>
    </row>
    <row r="373" spans="2:13" x14ac:dyDescent="0.2">
      <c r="B373" s="5" t="s">
        <v>19</v>
      </c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</row>
    <row r="374" spans="2:13" x14ac:dyDescent="0.2">
      <c r="B374" s="11" t="s">
        <v>18</v>
      </c>
      <c r="C374" s="17">
        <f>100*C364/C362</f>
        <v>0</v>
      </c>
      <c r="D374" s="17">
        <f>100*D364/D362</f>
        <v>6.8014048472242097</v>
      </c>
      <c r="E374" s="17">
        <f>100*E364/E362</f>
        <v>1.8286866246890172</v>
      </c>
      <c r="F374" s="17">
        <f>100*F364/F362</f>
        <v>8.723986646649271</v>
      </c>
      <c r="G374" s="17">
        <f>100*G364/G362</f>
        <v>21.212069980765612</v>
      </c>
      <c r="H374" s="17">
        <f>100*H364/H362</f>
        <v>14.720075624961909</v>
      </c>
      <c r="I374" s="17">
        <f>100*I364/I362</f>
        <v>15.038221292420111</v>
      </c>
      <c r="J374" s="17">
        <f>100*J364/J362</f>
        <v>34.25660881350521</v>
      </c>
      <c r="K374" s="17">
        <f>100*K364/K362</f>
        <v>4.1755371036398854</v>
      </c>
      <c r="L374" s="17">
        <f>100*L364/L362</f>
        <v>19.641381080186434</v>
      </c>
      <c r="M374" s="17">
        <f>100*M364/M362</f>
        <v>33.886763900459734</v>
      </c>
    </row>
    <row r="375" spans="2:13" x14ac:dyDescent="0.2">
      <c r="B375" s="9" t="s">
        <v>17</v>
      </c>
      <c r="C375" s="16">
        <f>100*C366/C363</f>
        <v>49.735034129875842</v>
      </c>
      <c r="D375" s="16">
        <f>100*D366/D363</f>
        <v>19.402060088000272</v>
      </c>
      <c r="E375" s="16">
        <f>100*E366/E363</f>
        <v>11.058228752391017</v>
      </c>
      <c r="F375" s="16">
        <f>100*F366/F363</f>
        <v>12.881791966361972</v>
      </c>
      <c r="G375" s="16">
        <f>100*G366/G363</f>
        <v>21.058075383230193</v>
      </c>
      <c r="H375" s="16">
        <f>100*H366/H363</f>
        <v>14.765066926660616</v>
      </c>
      <c r="I375" s="16">
        <f>100*I366/I363</f>
        <v>16.534960817380732</v>
      </c>
      <c r="J375" s="16">
        <f>100*J366/J363</f>
        <v>36.699490091781861</v>
      </c>
      <c r="K375" s="16">
        <f>100*K366/K363</f>
        <v>4.6298316709374348</v>
      </c>
      <c r="L375" s="16">
        <f>100*L366/L363</f>
        <v>21.375392178976476</v>
      </c>
      <c r="M375" s="16">
        <f>100*M366/M363</f>
        <v>36.535440443498814</v>
      </c>
    </row>
    <row r="376" spans="2:13" x14ac:dyDescent="0.2">
      <c r="B376" s="5" t="s">
        <v>16</v>
      </c>
      <c r="C376" s="5"/>
      <c r="D376" s="15">
        <f>D368/D370</f>
        <v>-4.0238958253515795</v>
      </c>
      <c r="E376" s="15">
        <f>E368/E370</f>
        <v>-11.738373626722586</v>
      </c>
      <c r="F376" s="15">
        <f>F368/F370</f>
        <v>-7.1351808929524863</v>
      </c>
      <c r="G376" s="15">
        <f>G368/G370</f>
        <v>40.225715133517575</v>
      </c>
      <c r="H376" s="5"/>
      <c r="I376" s="5"/>
      <c r="J376" s="5"/>
      <c r="K376" s="5"/>
      <c r="L376" s="5"/>
      <c r="M376" s="5"/>
    </row>
    <row r="377" spans="2:13" x14ac:dyDescent="0.2">
      <c r="B377" s="9" t="s">
        <v>15</v>
      </c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</row>
    <row r="378" spans="2:13" x14ac:dyDescent="0.2">
      <c r="B378" s="11" t="s">
        <v>14</v>
      </c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</row>
    <row r="379" spans="2:13" x14ac:dyDescent="0.2">
      <c r="B379" s="9" t="s">
        <v>13</v>
      </c>
      <c r="C379" s="9"/>
      <c r="D379" s="9">
        <f>D371/D372</f>
        <v>20</v>
      </c>
      <c r="E379" s="9">
        <f>E371/E372</f>
        <v>20</v>
      </c>
      <c r="F379" s="9">
        <f>F371/F372</f>
        <v>20</v>
      </c>
      <c r="G379" s="9">
        <f>G371/G372</f>
        <v>20</v>
      </c>
      <c r="H379" s="9">
        <f>H371/H372</f>
        <v>20</v>
      </c>
      <c r="I379" s="9">
        <f>I371/I372</f>
        <v>20</v>
      </c>
      <c r="J379" s="9">
        <f>J371/J372</f>
        <v>20.000000000000004</v>
      </c>
      <c r="K379" s="9">
        <f>K371/K372</f>
        <v>19.999999999999996</v>
      </c>
      <c r="L379" s="9">
        <f>L371/L372</f>
        <v>20</v>
      </c>
      <c r="M379" s="9">
        <f>M371/M372</f>
        <v>19.999999999999996</v>
      </c>
    </row>
    <row r="381" spans="2:13" ht="15.75" x14ac:dyDescent="0.25">
      <c r="B381" s="14" t="s">
        <v>12</v>
      </c>
    </row>
    <row r="383" spans="2:13" x14ac:dyDescent="0.2">
      <c r="B383" s="3" t="s">
        <v>11</v>
      </c>
      <c r="C383" s="3">
        <v>1</v>
      </c>
      <c r="D383" s="3">
        <v>2</v>
      </c>
      <c r="E383" s="3">
        <v>3</v>
      </c>
      <c r="F383" s="3">
        <v>4</v>
      </c>
      <c r="G383" s="3">
        <v>5</v>
      </c>
      <c r="H383" s="3">
        <v>6</v>
      </c>
      <c r="I383" s="3">
        <v>7</v>
      </c>
      <c r="J383" s="3">
        <v>8</v>
      </c>
      <c r="K383" s="3">
        <v>9</v>
      </c>
      <c r="L383" s="3">
        <v>10</v>
      </c>
    </row>
    <row r="384" spans="2:13" x14ac:dyDescent="0.2">
      <c r="B384" s="5" t="s">
        <v>10</v>
      </c>
      <c r="C384" s="13">
        <f>C171</f>
        <v>187.00844967965418</v>
      </c>
      <c r="D384" s="13">
        <f>D171</f>
        <v>203.38843273041448</v>
      </c>
      <c r="E384" s="13">
        <f>E171</f>
        <v>198.1450323581733</v>
      </c>
      <c r="F384" s="13">
        <f>F171</f>
        <v>183.34083997628412</v>
      </c>
      <c r="G384" s="13">
        <f>G171</f>
        <v>190.89667914435887</v>
      </c>
      <c r="H384" s="13">
        <f>H171</f>
        <v>177.55272212436458</v>
      </c>
      <c r="I384" s="13">
        <f>I171</f>
        <v>186.96548759176184</v>
      </c>
      <c r="J384" s="13">
        <f>J171</f>
        <v>196.51529332049398</v>
      </c>
      <c r="K384" s="13">
        <f>K171</f>
        <v>195.91526132214875</v>
      </c>
      <c r="L384" s="13">
        <f>L171</f>
        <v>190.72140098033029</v>
      </c>
    </row>
    <row r="385" spans="2:12" x14ac:dyDescent="0.2">
      <c r="B385" s="11" t="s">
        <v>9</v>
      </c>
      <c r="C385" s="12">
        <f>C175</f>
        <v>38.224467918724272</v>
      </c>
      <c r="D385" s="12">
        <f>D175</f>
        <v>42.209103306154645</v>
      </c>
      <c r="E385" s="12">
        <f>E175</f>
        <v>40.685383717729138</v>
      </c>
      <c r="F385" s="12">
        <f>F175</f>
        <v>36.545769569945101</v>
      </c>
      <c r="G385" s="12">
        <f>G175</f>
        <v>38.6155564007367</v>
      </c>
      <c r="H385" s="12">
        <f>H175</f>
        <v>35.595782862667953</v>
      </c>
      <c r="I385" s="12">
        <f>I175</f>
        <v>36.116334469619268</v>
      </c>
      <c r="J385" s="12">
        <f>J175</f>
        <v>40.515399802521323</v>
      </c>
      <c r="K385" s="12">
        <f>K175</f>
        <v>39.442433160998533</v>
      </c>
      <c r="L385" s="12">
        <f>L175</f>
        <v>37.19733717646335</v>
      </c>
    </row>
    <row r="386" spans="2:12" x14ac:dyDescent="0.2">
      <c r="B386" s="11" t="s">
        <v>8</v>
      </c>
      <c r="C386" s="12">
        <f>C384-C348</f>
        <v>34.22925577396876</v>
      </c>
      <c r="D386" s="12">
        <f>D384-D348</f>
        <v>35.969686144518278</v>
      </c>
      <c r="E386" s="12">
        <f>E384-E348</f>
        <v>36.324432406970686</v>
      </c>
      <c r="F386" s="12">
        <f>F384-F348</f>
        <v>36.729184758996411</v>
      </c>
      <c r="G386" s="12">
        <f>G384-G348</f>
        <v>36.68062593327619</v>
      </c>
      <c r="H386" s="12">
        <f>H384-H348</f>
        <v>34.431318610044485</v>
      </c>
      <c r="I386" s="12">
        <f>I384-I348</f>
        <v>41.931577177369633</v>
      </c>
      <c r="J386" s="12">
        <f>J384-J348</f>
        <v>35.319214370465829</v>
      </c>
      <c r="K386" s="12">
        <f>K384-K348</f>
        <v>38.661262423467917</v>
      </c>
      <c r="L386" s="12">
        <f>L384-L348</f>
        <v>190.72140098033029</v>
      </c>
    </row>
    <row r="387" spans="2:12" x14ac:dyDescent="0.2">
      <c r="B387" s="9" t="s">
        <v>7</v>
      </c>
      <c r="C387" s="9"/>
      <c r="D387" s="9"/>
      <c r="E387" s="9"/>
      <c r="F387" s="9"/>
      <c r="G387" s="9"/>
      <c r="H387" s="9"/>
      <c r="I387" s="9"/>
      <c r="J387" s="9"/>
      <c r="K387" s="9"/>
      <c r="L387" s="9"/>
    </row>
    <row r="388" spans="2:12" x14ac:dyDescent="0.2">
      <c r="B388" s="3" t="s">
        <v>6</v>
      </c>
      <c r="C388" s="4">
        <f>C384/C385</f>
        <v>4.8923754825648729</v>
      </c>
      <c r="D388" s="4">
        <f>D384/D385</f>
        <v>4.8185916496538734</v>
      </c>
      <c r="E388" s="4">
        <f>E384/E385</f>
        <v>4.8701773033009212</v>
      </c>
      <c r="F388" s="4">
        <f>F384/F385</f>
        <v>5.0167459088633315</v>
      </c>
      <c r="G388" s="4">
        <f>G384/G385</f>
        <v>4.9435175079004425</v>
      </c>
      <c r="H388" s="4">
        <f>H384/H385</f>
        <v>4.9880268909769603</v>
      </c>
      <c r="I388" s="4">
        <f>I384/I385</f>
        <v>5.1767570086337393</v>
      </c>
      <c r="J388" s="4">
        <f>J384/J385</f>
        <v>4.8503851443732904</v>
      </c>
      <c r="K388" s="4">
        <f>K384/K385</f>
        <v>4.9671190548121071</v>
      </c>
      <c r="L388" s="4">
        <f>L384/L385</f>
        <v>5.127286398904098</v>
      </c>
    </row>
    <row r="389" spans="2:12" x14ac:dyDescent="0.2">
      <c r="B389" s="11" t="s">
        <v>5</v>
      </c>
      <c r="C389" s="10">
        <f>C386/C385</f>
        <v>0.89548024178517194</v>
      </c>
      <c r="D389" s="10">
        <f>D386/D385</f>
        <v>0.85217840056018013</v>
      </c>
      <c r="E389" s="10">
        <f>E386/E385</f>
        <v>0.89281282582919042</v>
      </c>
      <c r="F389" s="10">
        <f>F386/F385</f>
        <v>1.0050187803187527</v>
      </c>
      <c r="G389" s="10">
        <f>G386/G385</f>
        <v>0.94989246180009468</v>
      </c>
      <c r="H389" s="10">
        <f>H386/H385</f>
        <v>0.96728645477145181</v>
      </c>
      <c r="I389" s="10">
        <f>I386/I385</f>
        <v>1.1610142001714514</v>
      </c>
      <c r="J389" s="10">
        <f>J386/J385</f>
        <v>0.87174789197730862</v>
      </c>
      <c r="K389" s="10">
        <f>K386/K385</f>
        <v>0.98019466156304336</v>
      </c>
      <c r="L389" s="10">
        <f>L386/L385</f>
        <v>5.127286398904098</v>
      </c>
    </row>
    <row r="390" spans="2:12" x14ac:dyDescent="0.2">
      <c r="B390" s="9" t="s">
        <v>4</v>
      </c>
      <c r="C390" s="9"/>
      <c r="D390" s="9"/>
      <c r="E390" s="9"/>
      <c r="F390" s="9"/>
      <c r="G390" s="9"/>
      <c r="H390" s="9"/>
      <c r="I390" s="9"/>
      <c r="J390" s="9"/>
      <c r="K390" s="9"/>
      <c r="L390" s="8"/>
    </row>
    <row r="391" spans="2:12" x14ac:dyDescent="0.2">
      <c r="B391" s="7"/>
      <c r="C391" s="7"/>
    </row>
    <row r="392" spans="2:12" x14ac:dyDescent="0.2">
      <c r="B392" s="3" t="s">
        <v>3</v>
      </c>
      <c r="C392" s="6">
        <v>0.1</v>
      </c>
    </row>
    <row r="394" spans="2:12" x14ac:dyDescent="0.2">
      <c r="C394" s="3" t="s">
        <v>2</v>
      </c>
    </row>
    <row r="395" spans="2:12" x14ac:dyDescent="0.2">
      <c r="B395" s="5" t="s">
        <v>1</v>
      </c>
      <c r="C395" s="4">
        <f>C213+D213/(1+C392)+E213/POWER(1+C392,2)+F213/POWER(1+C392,3)+G213/POWER(1+C392,4)+H213/POWER(1+C392,5)+I213/POWER(1+C392,6)+J213/POWER(1+C392,7)+K213/POWER(1+C392,8)+L213/POWER(1+C392,9)+M213/POWER(1+C392,10)</f>
        <v>-25.961760418787648</v>
      </c>
    </row>
    <row r="396" spans="2:12" x14ac:dyDescent="0.2">
      <c r="B396" s="3" t="s">
        <v>0</v>
      </c>
      <c r="C396" s="2">
        <f>C287+D287/(1+C392)+E287/POWER(1+C392,2)+F287/POWER(1+C392,3)+G287/POWER(1+C392,4)+H287/POWER(1+C392,5)+I287/POWER(1+C392,6)+J287/POWER(1+C392,7)+K287/POWER(1+C392,8)+L287/POWER(1+C392,9)+M287/POWER(1+C392,10)</f>
        <v>-17.776174834067987</v>
      </c>
    </row>
    <row r="400" spans="2:12" x14ac:dyDescent="0.2">
      <c r="B400" s="1">
        <v>0.01</v>
      </c>
      <c r="C400">
        <v>-118.3907666379975</v>
      </c>
      <c r="D400">
        <v>-110.47140012523559</v>
      </c>
    </row>
    <row r="401" spans="2:4" x14ac:dyDescent="0.2">
      <c r="B401" s="1">
        <v>0.02</v>
      </c>
      <c r="C401">
        <v>-66.902216985411997</v>
      </c>
      <c r="D401">
        <v>-57.809187097228232</v>
      </c>
    </row>
    <row r="402" spans="2:4" x14ac:dyDescent="0.2">
      <c r="B402" s="1">
        <v>0.03</v>
      </c>
      <c r="C402">
        <v>-61.920034776700618</v>
      </c>
      <c r="D402">
        <v>-53.290839668669548</v>
      </c>
    </row>
    <row r="403" spans="2:4" x14ac:dyDescent="0.2">
      <c r="B403" s="1">
        <v>0.04</v>
      </c>
      <c r="C403">
        <v>-43.613473802875703</v>
      </c>
      <c r="D403">
        <v>-35.83313109239684</v>
      </c>
    </row>
    <row r="404" spans="2:4" x14ac:dyDescent="0.2">
      <c r="B404" s="1">
        <v>0.05</v>
      </c>
      <c r="C404">
        <v>-42.277120626714186</v>
      </c>
      <c r="D404">
        <v>-32.807329539991805</v>
      </c>
    </row>
    <row r="405" spans="2:4" x14ac:dyDescent="0.2">
      <c r="B405" s="1">
        <v>0.06</v>
      </c>
      <c r="C405">
        <v>-37.833322179290562</v>
      </c>
      <c r="D405">
        <v>-28.500459237428174</v>
      </c>
    </row>
    <row r="406" spans="2:4" x14ac:dyDescent="0.2">
      <c r="B406" s="1">
        <v>7.0000000000000007E-2</v>
      </c>
      <c r="C406">
        <v>-33.387796106844419</v>
      </c>
      <c r="D406">
        <v>-25.051266389078037</v>
      </c>
    </row>
    <row r="407" spans="2:4" x14ac:dyDescent="0.2">
      <c r="B407" s="1">
        <v>0.08</v>
      </c>
      <c r="C407">
        <v>-31.787460742116977</v>
      </c>
      <c r="D407">
        <v>-23.169192074966674</v>
      </c>
    </row>
    <row r="408" spans="2:4" x14ac:dyDescent="0.2">
      <c r="B408" s="1">
        <v>0.09</v>
      </c>
      <c r="C408">
        <v>-25.961760418787648</v>
      </c>
      <c r="D408">
        <v>-17.776174834067987</v>
      </c>
    </row>
    <row r="409" spans="2:4" x14ac:dyDescent="0.2">
      <c r="B409" s="1">
        <v>0.1</v>
      </c>
      <c r="C409">
        <v>-25.258989780667477</v>
      </c>
      <c r="D409">
        <v>-15.173143427913402</v>
      </c>
    </row>
    <row r="410" spans="2:4" x14ac:dyDescent="0.2">
      <c r="B410" s="1">
        <v>0.11</v>
      </c>
      <c r="C410">
        <v>-24.696356422146955</v>
      </c>
      <c r="D410">
        <v>-14.572812785996462</v>
      </c>
    </row>
    <row r="411" spans="2:4" x14ac:dyDescent="0.2">
      <c r="B411" s="1">
        <v>0.12</v>
      </c>
      <c r="C411">
        <v>-8.6406671236415562</v>
      </c>
      <c r="D411">
        <v>-0.77372865718138684</v>
      </c>
    </row>
    <row r="412" spans="2:4" x14ac:dyDescent="0.2">
      <c r="B412" s="1">
        <v>0.13</v>
      </c>
      <c r="C412">
        <v>-7.7042732076801173</v>
      </c>
      <c r="D412">
        <v>0.92312455581853214</v>
      </c>
    </row>
    <row r="413" spans="2:4" x14ac:dyDescent="0.2">
      <c r="B413" s="1">
        <v>0.14000000000000001</v>
      </c>
      <c r="C413">
        <v>-0.27619291331761531</v>
      </c>
      <c r="D413">
        <v>8.1638839613677163</v>
      </c>
    </row>
    <row r="414" spans="2:4" x14ac:dyDescent="0.2">
      <c r="B414" s="1">
        <v>0.15</v>
      </c>
      <c r="C414">
        <v>0.26003748658143877</v>
      </c>
      <c r="D414">
        <v>9.2547257677590977</v>
      </c>
    </row>
    <row r="415" spans="2:4" x14ac:dyDescent="0.2">
      <c r="B415" s="1">
        <v>0.16</v>
      </c>
      <c r="C415">
        <v>3.1659051045364031</v>
      </c>
      <c r="D415">
        <v>11.619495190407555</v>
      </c>
    </row>
    <row r="416" spans="2:4" x14ac:dyDescent="0.2">
      <c r="B416" s="1">
        <v>0.17</v>
      </c>
      <c r="C416">
        <v>3.317635418005878</v>
      </c>
      <c r="D416">
        <v>12.959697950426204</v>
      </c>
    </row>
    <row r="417" spans="2:4" x14ac:dyDescent="0.2">
      <c r="B417" s="1">
        <v>0.18</v>
      </c>
      <c r="C417">
        <v>7.2114055688022063</v>
      </c>
      <c r="D417">
        <v>16.878045331528256</v>
      </c>
    </row>
    <row r="418" spans="2:4" x14ac:dyDescent="0.2">
      <c r="B418" s="1">
        <v>0.19</v>
      </c>
      <c r="C418">
        <v>13.231750123245526</v>
      </c>
      <c r="D418">
        <v>22.78838041637492</v>
      </c>
    </row>
    <row r="419" spans="2:4" x14ac:dyDescent="0.2">
      <c r="B419" s="1">
        <v>0.2</v>
      </c>
      <c r="C419">
        <v>18.587507830539899</v>
      </c>
      <c r="D419">
        <v>27.961089484569584</v>
      </c>
    </row>
    <row r="420" spans="2:4" x14ac:dyDescent="0.2">
      <c r="B420" s="1">
        <v>0.21</v>
      </c>
      <c r="C420">
        <v>20.806174255617066</v>
      </c>
      <c r="D420">
        <v>28.666288018362202</v>
      </c>
    </row>
    <row r="421" spans="2:4" x14ac:dyDescent="0.2">
      <c r="B421" s="1">
        <v>0.22</v>
      </c>
      <c r="C421">
        <v>27.203632601602592</v>
      </c>
      <c r="D421">
        <v>37.175003265819313</v>
      </c>
    </row>
    <row r="422" spans="2:4" x14ac:dyDescent="0.2">
      <c r="B422" s="1">
        <v>0.23</v>
      </c>
      <c r="C422">
        <v>28.397772905490783</v>
      </c>
      <c r="D422">
        <v>37.229717902539335</v>
      </c>
    </row>
    <row r="423" spans="2:4" x14ac:dyDescent="0.2">
      <c r="B423" s="1">
        <v>0.24</v>
      </c>
      <c r="C423">
        <v>29.121348555188778</v>
      </c>
      <c r="D423">
        <v>37.384954343527674</v>
      </c>
    </row>
    <row r="424" spans="2:4" x14ac:dyDescent="0.2">
      <c r="B424" s="1">
        <v>0.25</v>
      </c>
      <c r="C424">
        <v>29.275073628427137</v>
      </c>
      <c r="D424">
        <v>37.420064449370017</v>
      </c>
    </row>
    <row r="425" spans="2:4" x14ac:dyDescent="0.2">
      <c r="B425" s="1">
        <v>0.26</v>
      </c>
      <c r="C425">
        <v>29.689619258115137</v>
      </c>
      <c r="D425">
        <v>39.119614737505273</v>
      </c>
    </row>
    <row r="426" spans="2:4" x14ac:dyDescent="0.2">
      <c r="B426" s="1">
        <v>0.27</v>
      </c>
      <c r="C426">
        <v>30.219194179980256</v>
      </c>
      <c r="D426">
        <v>39.895803899604921</v>
      </c>
    </row>
    <row r="427" spans="2:4" x14ac:dyDescent="0.2">
      <c r="B427" s="1">
        <v>0.28000000000000003</v>
      </c>
      <c r="C427">
        <v>32.527813078885984</v>
      </c>
      <c r="D427">
        <v>41.156001601611806</v>
      </c>
    </row>
    <row r="428" spans="2:4" x14ac:dyDescent="0.2">
      <c r="B428" s="1">
        <v>0.28999999999999998</v>
      </c>
      <c r="C428">
        <v>35.332123321954427</v>
      </c>
      <c r="D428">
        <v>44.166259853257259</v>
      </c>
    </row>
    <row r="429" spans="2:4" x14ac:dyDescent="0.2">
      <c r="B429" s="1">
        <v>0.3</v>
      </c>
      <c r="C429">
        <v>40.135926817690766</v>
      </c>
      <c r="D429">
        <v>49.291340286214073</v>
      </c>
    </row>
    <row r="430" spans="2:4" x14ac:dyDescent="0.2">
      <c r="B430" s="1">
        <v>0.31</v>
      </c>
      <c r="C430">
        <v>42.627886834355429</v>
      </c>
      <c r="D430">
        <v>50.560737937188698</v>
      </c>
    </row>
    <row r="431" spans="2:4" x14ac:dyDescent="0.2">
      <c r="B431" s="1">
        <v>0.32</v>
      </c>
      <c r="C431">
        <v>45.862368886717242</v>
      </c>
      <c r="D431">
        <v>54.28156007350379</v>
      </c>
    </row>
    <row r="432" spans="2:4" x14ac:dyDescent="0.2">
      <c r="B432" s="1">
        <v>0.33</v>
      </c>
      <c r="C432">
        <v>58.465769850840957</v>
      </c>
      <c r="D432">
        <v>67.290799884947802</v>
      </c>
    </row>
    <row r="433" spans="2:4" x14ac:dyDescent="0.2">
      <c r="B433" s="1">
        <v>0.34</v>
      </c>
      <c r="C433">
        <v>68.521855513538554</v>
      </c>
      <c r="D433">
        <v>77.875117357462216</v>
      </c>
    </row>
    <row r="434" spans="2:4" x14ac:dyDescent="0.2">
      <c r="B434" s="1">
        <v>0.35</v>
      </c>
      <c r="C434">
        <v>70.233257416517588</v>
      </c>
      <c r="D434">
        <v>79.439806943424003</v>
      </c>
    </row>
    <row r="435" spans="2:4" x14ac:dyDescent="0.2">
      <c r="B435" s="1">
        <v>0.36</v>
      </c>
      <c r="C435">
        <v>72.49347630874469</v>
      </c>
      <c r="D435">
        <v>81.635639779386224</v>
      </c>
    </row>
    <row r="436" spans="2:4" x14ac:dyDescent="0.2">
      <c r="B436" s="1">
        <v>0.37</v>
      </c>
      <c r="C436">
        <v>73.414023433059498</v>
      </c>
      <c r="D436">
        <v>82.433062334055847</v>
      </c>
    </row>
    <row r="437" spans="2:4" x14ac:dyDescent="0.2">
      <c r="B437" s="1">
        <v>0.38</v>
      </c>
      <c r="C437">
        <v>75.897044306941993</v>
      </c>
      <c r="D437">
        <v>84.513327371558944</v>
      </c>
    </row>
    <row r="438" spans="2:4" x14ac:dyDescent="0.2">
      <c r="B438" s="1">
        <v>0.39</v>
      </c>
      <c r="C438">
        <v>77.084712583920677</v>
      </c>
      <c r="D438">
        <v>86.557742728445533</v>
      </c>
    </row>
    <row r="439" spans="2:4" x14ac:dyDescent="0.2">
      <c r="B439" s="1">
        <v>0.4</v>
      </c>
      <c r="C439">
        <v>79.432186336111172</v>
      </c>
      <c r="D439">
        <v>88.556324205927339</v>
      </c>
    </row>
    <row r="440" spans="2:4" x14ac:dyDescent="0.2">
      <c r="B440" s="1">
        <v>0.41</v>
      </c>
      <c r="C440">
        <v>82.245703645165335</v>
      </c>
      <c r="D440">
        <v>90.116677294607385</v>
      </c>
    </row>
    <row r="441" spans="2:4" x14ac:dyDescent="0.2">
      <c r="B441" s="1">
        <v>0.42</v>
      </c>
      <c r="C441">
        <v>84.696462358583702</v>
      </c>
      <c r="D441">
        <v>93.372364002601984</v>
      </c>
    </row>
    <row r="442" spans="2:4" x14ac:dyDescent="0.2">
      <c r="B442" s="1">
        <v>0.43</v>
      </c>
      <c r="C442">
        <v>84.836989952321574</v>
      </c>
      <c r="D442">
        <v>94.438568816002444</v>
      </c>
    </row>
    <row r="443" spans="2:4" x14ac:dyDescent="0.2">
      <c r="B443" s="1">
        <v>0.44</v>
      </c>
      <c r="C443">
        <v>91.404213575639034</v>
      </c>
      <c r="D443">
        <v>98.103300649772265</v>
      </c>
    </row>
    <row r="444" spans="2:4" x14ac:dyDescent="0.2">
      <c r="B444" s="1">
        <v>0.45</v>
      </c>
      <c r="C444">
        <v>91.501088833805625</v>
      </c>
      <c r="D444">
        <v>100.29132465307859</v>
      </c>
    </row>
    <row r="445" spans="2:4" x14ac:dyDescent="0.2">
      <c r="B445" s="1">
        <v>0.46</v>
      </c>
      <c r="C445">
        <v>93.371039510419138</v>
      </c>
      <c r="D445">
        <v>101.84628461905005</v>
      </c>
    </row>
    <row r="446" spans="2:4" x14ac:dyDescent="0.2">
      <c r="B446" s="1">
        <v>0.47</v>
      </c>
      <c r="C446">
        <v>94.048394615422495</v>
      </c>
      <c r="D446">
        <v>103.20352372085304</v>
      </c>
    </row>
    <row r="447" spans="2:4" x14ac:dyDescent="0.2">
      <c r="B447" s="1">
        <v>0.48</v>
      </c>
      <c r="C447">
        <v>98.751972741244629</v>
      </c>
      <c r="D447">
        <v>107.51451218770066</v>
      </c>
    </row>
    <row r="448" spans="2:4" x14ac:dyDescent="0.2">
      <c r="B448" s="1">
        <v>0.49</v>
      </c>
      <c r="C448">
        <v>98.765940410005996</v>
      </c>
      <c r="D448">
        <v>107.9971906255516</v>
      </c>
    </row>
    <row r="449" spans="2:4" x14ac:dyDescent="0.2">
      <c r="B449" s="1">
        <v>0.5</v>
      </c>
      <c r="C449">
        <v>99.638224646155962</v>
      </c>
      <c r="D449">
        <v>108.52598926850554</v>
      </c>
    </row>
    <row r="450" spans="2:4" x14ac:dyDescent="0.2">
      <c r="B450" s="1">
        <v>0.51</v>
      </c>
      <c r="C450">
        <v>101.20646543876155</v>
      </c>
      <c r="D450">
        <v>109.91354276869565</v>
      </c>
    </row>
    <row r="451" spans="2:4" x14ac:dyDescent="0.2">
      <c r="B451" s="1">
        <v>0.52</v>
      </c>
      <c r="C451">
        <v>107.55871988231783</v>
      </c>
      <c r="D451">
        <v>116.16822102830081</v>
      </c>
    </row>
    <row r="452" spans="2:4" x14ac:dyDescent="0.2">
      <c r="B452" s="1">
        <v>0.53</v>
      </c>
      <c r="C452">
        <v>107.61234384587097</v>
      </c>
      <c r="D452">
        <v>116.69355260785107</v>
      </c>
    </row>
    <row r="453" spans="2:4" x14ac:dyDescent="0.2">
      <c r="B453" s="1">
        <v>0.54</v>
      </c>
      <c r="C453">
        <v>112.27408203090351</v>
      </c>
      <c r="D453">
        <v>120.34567599445883</v>
      </c>
    </row>
    <row r="454" spans="2:4" x14ac:dyDescent="0.2">
      <c r="B454" s="1">
        <v>0.55000000000000004</v>
      </c>
      <c r="C454">
        <v>112.82272531622721</v>
      </c>
      <c r="D454">
        <v>121.40268456630722</v>
      </c>
    </row>
    <row r="455" spans="2:4" x14ac:dyDescent="0.2">
      <c r="B455" s="1">
        <v>0.56000000000000005</v>
      </c>
      <c r="C455">
        <v>114.9840134865735</v>
      </c>
      <c r="D455">
        <v>123.58884843181065</v>
      </c>
    </row>
    <row r="456" spans="2:4" x14ac:dyDescent="0.2">
      <c r="B456" s="1">
        <v>0.56999999999999995</v>
      </c>
      <c r="C456">
        <v>115.38665410734519</v>
      </c>
      <c r="D456">
        <v>124.27700927019018</v>
      </c>
    </row>
    <row r="457" spans="2:4" x14ac:dyDescent="0.2">
      <c r="B457" s="1">
        <v>0.57999999999999996</v>
      </c>
      <c r="C457">
        <v>115.47574801329139</v>
      </c>
      <c r="D457">
        <v>124.75869586303254</v>
      </c>
    </row>
    <row r="458" spans="2:4" x14ac:dyDescent="0.2">
      <c r="B458" s="1">
        <v>0.59</v>
      </c>
      <c r="C458">
        <v>116.92757239665711</v>
      </c>
      <c r="D458">
        <v>125.58743409386874</v>
      </c>
    </row>
    <row r="459" spans="2:4" x14ac:dyDescent="0.2">
      <c r="B459" s="1">
        <v>0.6</v>
      </c>
      <c r="C459">
        <v>121.06968776373489</v>
      </c>
      <c r="D459">
        <v>129.61657510151645</v>
      </c>
    </row>
    <row r="460" spans="2:4" x14ac:dyDescent="0.2">
      <c r="B460" s="1">
        <v>0.61</v>
      </c>
      <c r="C460">
        <v>121.46282445346004</v>
      </c>
      <c r="D460">
        <v>129.66094764616849</v>
      </c>
    </row>
    <row r="461" spans="2:4" x14ac:dyDescent="0.2">
      <c r="B461" s="1">
        <v>0.62</v>
      </c>
      <c r="C461">
        <v>122.46573040820687</v>
      </c>
      <c r="D461">
        <v>130.53595311807379</v>
      </c>
    </row>
    <row r="462" spans="2:4" x14ac:dyDescent="0.2">
      <c r="B462" s="1">
        <v>0.63</v>
      </c>
      <c r="C462">
        <v>129.89459056917468</v>
      </c>
      <c r="D462">
        <v>138.08738936716261</v>
      </c>
    </row>
    <row r="463" spans="2:4" x14ac:dyDescent="0.2">
      <c r="B463" s="1">
        <v>0.64</v>
      </c>
      <c r="C463">
        <v>132.3122143368615</v>
      </c>
      <c r="D463">
        <v>140.62445157904813</v>
      </c>
    </row>
    <row r="464" spans="2:4" x14ac:dyDescent="0.2">
      <c r="B464" s="1">
        <v>0.65</v>
      </c>
      <c r="C464">
        <v>133.08000793322216</v>
      </c>
      <c r="D464">
        <v>140.74907504954223</v>
      </c>
    </row>
    <row r="465" spans="2:4" x14ac:dyDescent="0.2">
      <c r="B465" s="1">
        <v>0.66</v>
      </c>
      <c r="C465">
        <v>133.49135698619992</v>
      </c>
      <c r="D465">
        <v>143.88822466132279</v>
      </c>
    </row>
    <row r="466" spans="2:4" x14ac:dyDescent="0.2">
      <c r="B466" s="1">
        <v>0.67</v>
      </c>
      <c r="C466">
        <v>135.34555698585459</v>
      </c>
      <c r="D466">
        <v>145.36614036011753</v>
      </c>
    </row>
    <row r="467" spans="2:4" x14ac:dyDescent="0.2">
      <c r="B467" s="1">
        <v>0.68</v>
      </c>
      <c r="C467">
        <v>138.22534447582265</v>
      </c>
      <c r="D467">
        <v>147.77746877265702</v>
      </c>
    </row>
    <row r="468" spans="2:4" x14ac:dyDescent="0.2">
      <c r="B468" s="1">
        <v>0.69</v>
      </c>
      <c r="C468">
        <v>144.79394582530489</v>
      </c>
      <c r="D468">
        <v>153.23336305618102</v>
      </c>
    </row>
    <row r="469" spans="2:4" x14ac:dyDescent="0.2">
      <c r="B469" s="1">
        <v>0.7</v>
      </c>
      <c r="C469">
        <v>145.93387863031842</v>
      </c>
      <c r="D469">
        <v>154.9251395639146</v>
      </c>
    </row>
    <row r="470" spans="2:4" x14ac:dyDescent="0.2">
      <c r="B470" s="1">
        <v>0.71</v>
      </c>
      <c r="C470">
        <v>148.62378092467611</v>
      </c>
      <c r="D470">
        <v>158.42602034705772</v>
      </c>
    </row>
    <row r="471" spans="2:4" x14ac:dyDescent="0.2">
      <c r="B471" s="1">
        <v>0.72</v>
      </c>
      <c r="C471">
        <v>149.19292321896961</v>
      </c>
      <c r="D471">
        <v>158.85187390570309</v>
      </c>
    </row>
    <row r="472" spans="2:4" x14ac:dyDescent="0.2">
      <c r="B472" s="1">
        <v>0.73</v>
      </c>
      <c r="C472">
        <v>153.67845414120734</v>
      </c>
      <c r="D472">
        <v>162.39030405588488</v>
      </c>
    </row>
    <row r="473" spans="2:4" x14ac:dyDescent="0.2">
      <c r="B473" s="1">
        <v>0.74</v>
      </c>
      <c r="C473">
        <v>155.95102977402945</v>
      </c>
      <c r="D473">
        <v>165.36261787016548</v>
      </c>
    </row>
    <row r="474" spans="2:4" x14ac:dyDescent="0.2">
      <c r="B474" s="1">
        <v>0.75</v>
      </c>
      <c r="C474">
        <v>160.97948524350892</v>
      </c>
      <c r="D474">
        <v>169.23625221690767</v>
      </c>
    </row>
    <row r="475" spans="2:4" x14ac:dyDescent="0.2">
      <c r="B475" s="1">
        <v>0.76</v>
      </c>
      <c r="C475">
        <v>163.32497421689601</v>
      </c>
      <c r="D475">
        <v>171.75019176255512</v>
      </c>
    </row>
    <row r="476" spans="2:4" x14ac:dyDescent="0.2">
      <c r="B476" s="1">
        <v>0.77</v>
      </c>
      <c r="C476">
        <v>163.58746502389488</v>
      </c>
      <c r="D476">
        <v>171.96534993902864</v>
      </c>
    </row>
    <row r="477" spans="2:4" x14ac:dyDescent="0.2">
      <c r="B477" s="1">
        <v>0.78</v>
      </c>
      <c r="C477">
        <v>163.98139049752319</v>
      </c>
      <c r="D477">
        <v>172.09316145052955</v>
      </c>
    </row>
    <row r="478" spans="2:4" x14ac:dyDescent="0.2">
      <c r="B478" s="1">
        <v>0.79</v>
      </c>
      <c r="C478">
        <v>165.98289531649155</v>
      </c>
      <c r="D478">
        <v>175.55464831848667</v>
      </c>
    </row>
    <row r="479" spans="2:4" x14ac:dyDescent="0.2">
      <c r="B479" s="1">
        <v>0.8</v>
      </c>
      <c r="C479">
        <v>167.81563238966501</v>
      </c>
      <c r="D479">
        <v>176.40186219194484</v>
      </c>
    </row>
    <row r="480" spans="2:4" x14ac:dyDescent="0.2">
      <c r="B480" s="1">
        <v>0.81</v>
      </c>
      <c r="C480">
        <v>169.19153374471159</v>
      </c>
      <c r="D480">
        <v>178.2118620477097</v>
      </c>
    </row>
    <row r="481" spans="2:4" x14ac:dyDescent="0.2">
      <c r="B481" s="1">
        <v>0.82</v>
      </c>
      <c r="C481">
        <v>179.54003630515189</v>
      </c>
      <c r="D481">
        <v>187.85888951808528</v>
      </c>
    </row>
    <row r="482" spans="2:4" x14ac:dyDescent="0.2">
      <c r="B482" s="1">
        <v>0.83</v>
      </c>
      <c r="C482">
        <v>181.77606858740916</v>
      </c>
      <c r="D482">
        <v>190.06865168580151</v>
      </c>
    </row>
    <row r="483" spans="2:4" x14ac:dyDescent="0.2">
      <c r="B483" s="1">
        <v>0.84</v>
      </c>
      <c r="C483">
        <v>184.91568920817843</v>
      </c>
      <c r="D483">
        <v>194.18730049962929</v>
      </c>
    </row>
    <row r="484" spans="2:4" x14ac:dyDescent="0.2">
      <c r="B484" s="1">
        <v>0.85</v>
      </c>
      <c r="C484">
        <v>187.22939419348643</v>
      </c>
      <c r="D484">
        <v>197.00793436340803</v>
      </c>
    </row>
    <row r="485" spans="2:4" x14ac:dyDescent="0.2">
      <c r="B485" s="1">
        <v>0.86</v>
      </c>
      <c r="C485">
        <v>193.7559134205386</v>
      </c>
      <c r="D485">
        <v>203.74227422404601</v>
      </c>
    </row>
    <row r="486" spans="2:4" x14ac:dyDescent="0.2">
      <c r="B486" s="1">
        <v>0.87</v>
      </c>
      <c r="C486">
        <v>195.3882553801769</v>
      </c>
      <c r="D486">
        <v>204.84299540223256</v>
      </c>
    </row>
    <row r="487" spans="2:4" x14ac:dyDescent="0.2">
      <c r="B487" s="1">
        <v>0.88</v>
      </c>
      <c r="C487">
        <v>204.5581668253607</v>
      </c>
      <c r="D487">
        <v>212.90968890142082</v>
      </c>
    </row>
    <row r="488" spans="2:4" x14ac:dyDescent="0.2">
      <c r="B488" s="1">
        <v>0.89</v>
      </c>
      <c r="C488">
        <v>208.57190829204433</v>
      </c>
      <c r="D488">
        <v>217.28529305398922</v>
      </c>
    </row>
    <row r="489" spans="2:4" x14ac:dyDescent="0.2">
      <c r="B489" s="1">
        <v>0.9</v>
      </c>
      <c r="C489">
        <v>210.8711652388838</v>
      </c>
      <c r="D489">
        <v>219.26799243463944</v>
      </c>
    </row>
    <row r="490" spans="2:4" x14ac:dyDescent="0.2">
      <c r="B490" s="1">
        <v>0.91</v>
      </c>
      <c r="C490">
        <v>212.44906382535453</v>
      </c>
      <c r="D490">
        <v>222.20022372260041</v>
      </c>
    </row>
    <row r="491" spans="2:4" x14ac:dyDescent="0.2">
      <c r="B491" s="1">
        <v>0.92</v>
      </c>
      <c r="C491">
        <v>217.40456399556822</v>
      </c>
      <c r="D491">
        <v>227.63855399994651</v>
      </c>
    </row>
    <row r="492" spans="2:4" x14ac:dyDescent="0.2">
      <c r="B492" s="1">
        <v>0.93</v>
      </c>
      <c r="C492">
        <v>238.69140077848635</v>
      </c>
      <c r="D492">
        <v>247.37904640785723</v>
      </c>
    </row>
    <row r="493" spans="2:4" x14ac:dyDescent="0.2">
      <c r="B493" s="1">
        <v>0.94</v>
      </c>
      <c r="C493">
        <v>252.7625587275117</v>
      </c>
      <c r="D493">
        <v>262.88539747411807</v>
      </c>
    </row>
    <row r="494" spans="2:4" x14ac:dyDescent="0.2">
      <c r="B494" s="1">
        <v>0.95</v>
      </c>
      <c r="C494">
        <v>272.05702911843127</v>
      </c>
      <c r="D494">
        <v>281.61815792773655</v>
      </c>
    </row>
    <row r="495" spans="2:4" x14ac:dyDescent="0.2">
      <c r="B495" s="1">
        <v>0.96</v>
      </c>
      <c r="C495">
        <v>273.16862043928438</v>
      </c>
      <c r="D495">
        <v>282.40063286048144</v>
      </c>
    </row>
    <row r="496" spans="2:4" x14ac:dyDescent="0.2">
      <c r="B496" s="1">
        <v>0.97</v>
      </c>
      <c r="C496">
        <v>279.20498259039084</v>
      </c>
      <c r="D496">
        <v>287.01656613684128</v>
      </c>
    </row>
    <row r="497" spans="2:4" x14ac:dyDescent="0.2">
      <c r="B497" s="1">
        <v>0.98</v>
      </c>
      <c r="C497">
        <v>280.60575662127508</v>
      </c>
      <c r="D497">
        <v>290.48639977390445</v>
      </c>
    </row>
    <row r="498" spans="2:4" x14ac:dyDescent="0.2">
      <c r="B498" s="1">
        <v>0.99</v>
      </c>
      <c r="C498">
        <v>339.39085650773916</v>
      </c>
      <c r="D498">
        <v>348.5759731500342</v>
      </c>
    </row>
    <row r="499" spans="2:4" x14ac:dyDescent="0.2">
      <c r="B499" s="1">
        <v>1</v>
      </c>
      <c r="C499">
        <v>412.30295200771417</v>
      </c>
      <c r="D499">
        <v>420.48368847872155</v>
      </c>
    </row>
    <row r="500" spans="2:4" x14ac:dyDescent="0.2">
      <c r="B500" s="1">
        <v>1</v>
      </c>
      <c r="C500">
        <v>392.35037120419554</v>
      </c>
      <c r="D500">
        <v>402.25441390440182</v>
      </c>
    </row>
    <row r="501" spans="2:4" x14ac:dyDescent="0.2">
      <c r="B501" s="1"/>
    </row>
  </sheetData>
  <mergeCells count="11">
    <mergeCell ref="B38:B39"/>
    <mergeCell ref="C333:C334"/>
    <mergeCell ref="D333:D334"/>
    <mergeCell ref="E333:E334"/>
    <mergeCell ref="F333:F334"/>
    <mergeCell ref="H333:H334"/>
    <mergeCell ref="I333:I334"/>
    <mergeCell ref="J333:J334"/>
    <mergeCell ref="K333:K334"/>
    <mergeCell ref="L333:L334"/>
    <mergeCell ref="G333:G334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ecarloTriangular">
                <anchor moveWithCells="1" sizeWithCells="1">
                  <from>
                    <xdr:col>7</xdr:col>
                    <xdr:colOff>9525</xdr:colOff>
                    <xdr:row>36</xdr:row>
                    <xdr:rowOff>180975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Var + VAN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2024-08-14T04:34:20Z</dcterms:created>
  <dcterms:modified xsi:type="dcterms:W3CDTF">2024-08-14T04:38:13Z</dcterms:modified>
</cp:coreProperties>
</file>